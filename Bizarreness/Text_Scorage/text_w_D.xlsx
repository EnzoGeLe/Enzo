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nzob\Desktop\Stage M2 Genève\Bizarreness\Text_Scorage\"/>
    </mc:Choice>
  </mc:AlternateContent>
  <xr:revisionPtr revIDLastSave="0" documentId="13_ncr:1_{84DE2ADA-3A10-4A47-B842-011FF3B8700B}" xr6:coauthVersionLast="47" xr6:coauthVersionMax="47" xr10:uidLastSave="{00000000-0000-0000-0000-000000000000}"/>
  <bookViews>
    <workbookView xWindow="-108" yWindow="-108" windowWidth="23256" windowHeight="12456" xr2:uid="{AF27F421-23C6-4033-B42E-E8A0FAB6B861}"/>
  </bookViews>
  <sheets>
    <sheet name="Feuil1" sheetId="1" r:id="rId1"/>
    <sheet name="KirbergSu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4" i="1" l="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9" i="1"/>
  <c r="O8" i="1"/>
  <c r="O7" i="1"/>
  <c r="O5" i="1"/>
  <c r="O4" i="1"/>
  <c r="O3" i="1"/>
  <c r="O2" i="1"/>
  <c r="E88" i="1"/>
  <c r="H89" i="1"/>
  <c r="F89" i="1"/>
  <c r="H88" i="1"/>
  <c r="F88"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2" i="1"/>
  <c r="F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2" i="1"/>
  <c r="P18" i="1"/>
  <c r="P17" i="1"/>
  <c r="E2" i="1"/>
  <c r="M88"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2" i="1"/>
  <c r="A88" i="1"/>
  <c r="E89" i="1"/>
  <c r="F3" i="1"/>
  <c r="F4" i="1"/>
  <c r="F5" i="1"/>
  <c r="F6" i="1"/>
  <c r="F7" i="1"/>
  <c r="F8" i="1"/>
  <c r="F9" i="1"/>
  <c r="F10" i="1"/>
  <c r="F11" i="1"/>
  <c r="F12" i="1"/>
  <c r="F14" i="1"/>
  <c r="F15" i="1"/>
  <c r="F17" i="1"/>
  <c r="F18" i="1"/>
  <c r="F19" i="1"/>
  <c r="F20" i="1"/>
  <c r="F21" i="1"/>
  <c r="F22" i="1"/>
  <c r="F23" i="1"/>
  <c r="F24" i="1"/>
  <c r="F25" i="1"/>
  <c r="F26" i="1"/>
  <c r="F27" i="1"/>
  <c r="F28" i="1"/>
  <c r="F29" i="1"/>
  <c r="F30"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E3" i="1"/>
  <c r="E4" i="1"/>
  <c r="E5" i="1"/>
  <c r="E6" i="1"/>
  <c r="E7" i="1"/>
  <c r="E8" i="1"/>
  <c r="E9" i="1"/>
  <c r="E10" i="1"/>
  <c r="E11" i="1"/>
  <c r="E12" i="1"/>
  <c r="E13" i="1"/>
  <c r="F13" i="1" s="1"/>
  <c r="E14" i="1"/>
  <c r="E15" i="1"/>
  <c r="E16" i="1"/>
  <c r="E17" i="1"/>
  <c r="E18" i="1"/>
  <c r="E19" i="1"/>
  <c r="E20" i="1"/>
  <c r="E21" i="1"/>
  <c r="E22" i="1"/>
  <c r="E23" i="1"/>
  <c r="E24" i="1"/>
  <c r="E25" i="1"/>
  <c r="E26" i="1"/>
  <c r="E27" i="1"/>
  <c r="E28" i="1"/>
  <c r="E29" i="1"/>
  <c r="E30" i="1"/>
  <c r="E31" i="1"/>
  <c r="F31" i="1" s="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C4" i="1"/>
  <c r="C42" i="1"/>
  <c r="C47" i="1"/>
  <c r="C39" i="1"/>
  <c r="C30" i="1"/>
  <c r="C29" i="1"/>
  <c r="C37" i="1"/>
  <c r="C32" i="1"/>
  <c r="C36" i="1"/>
  <c r="C44" i="1"/>
  <c r="C11" i="1"/>
  <c r="C31" i="1"/>
  <c r="C20" i="1"/>
  <c r="C10" i="1"/>
  <c r="C41" i="1"/>
  <c r="C58" i="1"/>
  <c r="C51" i="1"/>
  <c r="C50" i="1"/>
  <c r="C6" i="1"/>
  <c r="C13" i="1"/>
  <c r="C14" i="1"/>
  <c r="C33" i="1"/>
  <c r="C40" i="1"/>
  <c r="C38" i="1"/>
  <c r="C15" i="1"/>
  <c r="C52" i="1"/>
  <c r="C45" i="1"/>
  <c r="C35" i="1"/>
  <c r="C12" i="1"/>
  <c r="C7" i="1"/>
  <c r="C59" i="1"/>
  <c r="C34" i="1"/>
  <c r="C17" i="1"/>
  <c r="C64" i="1"/>
  <c r="C25" i="1"/>
  <c r="C16" i="1"/>
  <c r="C9" i="1"/>
  <c r="C65" i="1"/>
  <c r="C57" i="1"/>
  <c r="C56" i="1"/>
  <c r="C2" i="1"/>
  <c r="C43" i="1"/>
  <c r="C62" i="1"/>
  <c r="C63" i="1"/>
  <c r="C5" i="1"/>
  <c r="C26" i="1"/>
  <c r="C23" i="1"/>
  <c r="C28" i="1"/>
  <c r="C8" i="1"/>
  <c r="C22" i="1"/>
  <c r="C24" i="1"/>
  <c r="C53" i="1"/>
  <c r="C48" i="1"/>
  <c r="C21" i="1"/>
  <c r="C46" i="1"/>
  <c r="C54" i="1"/>
  <c r="C55" i="1"/>
  <c r="C3" i="1"/>
  <c r="C18" i="1"/>
  <c r="C49" i="1"/>
  <c r="C19" i="1"/>
  <c r="C27" i="1"/>
  <c r="C61" i="1"/>
  <c r="C60" i="1"/>
  <c r="E92" i="1" l="1"/>
  <c r="F16" i="1"/>
  <c r="J98" i="1"/>
  <c r="J97" i="1"/>
  <c r="J99" i="1"/>
  <c r="K99" i="1"/>
  <c r="K98" i="1"/>
  <c r="K97" i="1"/>
</calcChain>
</file>

<file path=xl/sharedStrings.xml><?xml version="1.0" encoding="utf-8"?>
<sst xmlns="http://schemas.openxmlformats.org/spreadsheetml/2006/main" count="550" uniqueCount="383">
  <si>
    <t>Type rapport</t>
  </si>
  <si>
    <t xml:space="preserve">rapport </t>
  </si>
  <si>
    <t>length</t>
  </si>
  <si>
    <t>a une soirée avec de nombreux de mes amis présents, très drôle. Je suis un peu ivre ou drôle. Pour repartir il y'a du monde dans les métro et finalement il ne passe plus et il faut dormir sur le quais avec les autres. Mais c'est pas pire on est avec ses potes Alice, Baptiste Ems... Puis on se réveille dans les premiers avec Ems et y'a pas encore de queue pour les douches donc ok prend une douche. A la fin de ma douche un gars se réfugie dans la mienne et la situation me fait rire. Je dis a Nina de venir moi, elle râle un peu mais enft ça l'a fait rire au final.</t>
  </si>
  <si>
    <t>on est 4 et on gravi une montagne en sable c'est plutôt dangereux, y'a justin mais après je le reconnais plus vraiment. On a plein de trucs on est parti pour plusieurs jours d'aventures un peu chelou. Tt en haut c'est un plongeoir et on doit sauter de 30m dans une piscine mais ça va tt le monde y arrive.</t>
  </si>
  <si>
    <t xml:space="preserve"> naoufel était mort et on nous l'annonçait en classe. Que des gens que je ne connaissais pas. Il semblait s'être suicider -pas clair dû à des pressions de messages de gens dans la classe. Certains pleuraient. Réveillé peu après l'annonce</t>
  </si>
  <si>
    <t>J'allais a l'escalade je commençais tranquille par des jaune et verte j'y arrivais bien. Mais il commençait à être tzrd et le personnelle enlevait tt les prises pour fermer. Il y'avait a un autre endroit des grandes voies et des gens avec des ballons car il faisait encorde avec des moniteurs mais c'était plus cher.</t>
  </si>
  <si>
    <t>on mange on une épaule de boeuf avec papa et ben devait venir mais finalement non c'était un rêve. 2eme rêve, une famille fait une course de natation avec des règles en mode faut plonger plus etc. Puis ça se transforme en terrain de tennis et un gars en moto demande si il peut faire les courses avec nous car il a des espaces de canards qui le suivent partout donc c'est drôle de leur faire faire la course. Le terrain de tennis esr chez la famille de sportif a flanc de montagne on voit des chamoix et des ours pas loin. Puis des loups sont juste a côtés, les gens semblent serein, Alex dit que c'est ok. Les loups arrivent quand même a sauter par dessus le grillage et on doit les chasser avec des lances, ça ressemble un peu a l'âge de glace l'attaque.</t>
  </si>
  <si>
    <t>rêve avec Alain Chabat et sa femme je suis chez eux, mais sa ressemble a chez moi (roche) on discute, ils veulent savoir si je sais ce qui ne va pas chez eux m, je sais qu'elle prend des anxiolytiques, on en parle puis ensuite on parle bcp de Chabat de comment il est de sa vie, de la promo actuelle etc très sympa très bon moment c'est un bon gars.</t>
  </si>
  <si>
    <t xml:space="preserve"> espèce de cours avec des gens et Ems, un gars ouvre uen espèce de trape et des surveillants sont en mode wsh il faut quoi. En enfait le gars avait buter genre des dizaines de personnes end dessous donc annulation du cours etc et tt l'établissement va dehors et en gros je réconforte ems pdt un moment et t'avait thomas et jsais plus qui qui l'a taquinait alors qu'elle était dans une turbo saucisse. Après y'a ma maman qui arrive et du coup je fais les présentations et Ems m'embrasse en mode amitié mais quand même sur la bouche et wsh devant ma maman.</t>
  </si>
  <si>
    <t>avec Aurel et erwann au début moi seul qui cours dans une ville qui s'apparente a la x rousse et je tombe sur une salle stylé grand jury mais ça se voit y'a pas le droit d'être là de base moi j'étais là pour un vaccin mais évidemment j'avais pas envie et la du coup la sécu mais qu'est une sécu a gage me fume avec une fléchettes hypnositante ET avec les 2 on cours style parcours dans la ville jusqu'à tomber sur une meuf turbo fraîche qui ns invité et y'a un énorme jeu de seductio' et elle m'embrasse a moitié mais pas vraiment. Et après Tess distante et ton se dit au revoir et a la fin elle ns dit nan mais en vrai j'ai un zizi. Et on était en mode a bien joué mais wah t fraîche et ya des lèvres de fou et IEL me répond merci toi aussi c'était cool et tt et on repars en parcours.</t>
  </si>
  <si>
    <t>avec Salomé en haut d'une caverne a ciel ouvert sorte de cirque de roche. Des gens sont posés comme nous mais certains sautent comme s'il n'y avait aucun danger mais se brise les jambes et les chevilles.</t>
  </si>
  <si>
    <t>voyage, avec Marie chez un couple belge ou allemand mais qui parle très bien français m, on parle avec eux ils sont très sympa</t>
  </si>
  <si>
    <t>en Allemagne on est a une petite gare et on attend une info puis ensuite on voudrais prendre un train pour Lyon. Des allemands avec des t shirt de l'ol de tolissonsont devant moi et s'excuse car je coupe leur groupe donc je les laisse passée et il me dit merci pelo, on rigole et j'essaye de parler un peu français avec eux. Il n'y a plus de trai pour Lyon car nous sommes le 13 novembre (oui oui le 13).</t>
  </si>
  <si>
    <t>: on doit construire 3 monument selon des règles précises mais très dur stylé énigmes, nous sommes des centaines de jeunes, les conditions sont durs et extrêmement dangereuse, des gens meurent en tombant. Pression car nous avons sun temps imparti (plusieurs jours voir semaine). On réussit la première fois mais ça recommence l'année d'après ou en tt cas dans un timing long. Cette fois c'est encore plus dur et même avec nos meilleures éléments et toute notre volonté cela semble impossible. On demande l'aide de Michael Jackson (qui ressemble pas du tt) pour nous aider, on est dans une crèche, on l'y emmène en vélo pdt qu'il est en moto on discute avec lui et la directrice de notre histoire.</t>
  </si>
  <si>
    <t>: je suis dans un espèce de bar avec mes potes assis a une table et une dame la quarantaine essaye de me séduire mais ça me dégoûte, elle a de la barbe et est vraiment très collante, je la sème en allant au bar, les serveurs sont un peu désagréable et me disent que c'est fermé la maintenant. J'y retourne et un des 3 serveurs se fait sodomiser par un espèce de gros jouer stylé taureau sur lequel on doit rester accroché. Plein de gens viennent voir ca, je suis quelqu'un d'important, dans un grand immeuble, c'est une espèce de convention ou des gens vendent des choses, avant de rentrer, un gobelin me dit qu'il vend aussi des choses, je traverse rapidement la vente et ne voit rien d'intéressant, je débranche les serveurs, insulte tout le monde en leur disant que c'est des moutons, je ne sais plus pourquoi. Je sors ensuite et retrouve se gobelin dans l'ascenseur qui est très respectueux et veut me faire plaisir, il me tend ce qu'il vend sur une liste, rien d'intéressant alors que les gobelins vendent normalement des trucs magiques sympa et la même pas de potion de soins, je lui dis que c'est de la merde et insulte aussi son garde du corps qui me tend la liste mais cache les mots avec son gros doigt.</t>
  </si>
  <si>
    <t>se faire chasser par une créature qu'on devait tuer chasser avec des armes qu'on trouvait dans une maison ou pieu de base stylé death road to canada je me souviens de la fille du bad et d'aurel. Un autre ou je me battais contre des gens avec une épée relié à un câble contre des gens un peu dans le même style et j'étais très doué.</t>
  </si>
  <si>
    <t xml:space="preserve">j'ai l'impression d'être une jeune fille dans un décor stylé vaillaina je reviens sur mon île après très lgtps et ma famille n'est plus dans ma maison. Des ours arrivent et disent qu'ils vont vivre ici maintenant. Une quête d'abord en japonais puis qui se traduit en français me demande si je veux sauver mon chien. J'accepte. Pour se faire je dois monter en haut d'une grande montagne en glace / tour. Ou un grp de héros la monte j'ai l'impression de les connaître mais je ne vois plus. J'attend le bon moment pour en faire tomber un en snow, ça chute fait tomber énormément de glace et de neige dans l'eau, faisant une énorme vague et moi sur mon p'tit radeau ça me projette ça projette mon chien hors de la maison, il saute sur mon radeau et nous voilà partir sur l'océan (qui est encore un peu une ville où j'évolue. Je revois ma famille (pas du tt la vraie famile) mais ma mère veut reprendre de manière agressive elle me fait peur, elle n'est pas heureuse de me revoir, je fuis et cours au milieu des poissons, croco, souris entre les maison stylé un peu Venise sans être inquiete mais un peu triste. </t>
  </si>
  <si>
    <t>je parle a des gens dans un dortoir de quel était un espèce de partiel de l'ENS je ne sais pas quand, c'est la pause et Lou vient me voir puis baptiste, je pars avec Baptiste et finalement rêvais chercher Lou car j'ai l'impression de l'avoir laissé solo. Elle me dit qu'elle cherche un marqueur, je lui donne celui ds mon sac en lui disant en rigolant que du coup je ferais pas de stop aujourd'hui vu que c'est mon marqueur de stop qui était dans mon sac de voyage.</t>
  </si>
  <si>
    <t>rêve que je suis avec Lucie Muller et qu'on est dans une voiture dans un truc un peu en moyenne montagne (pas de neige) et on saute sur le toit d'une maison et devant nous y'a Lou et Théo qui discute près d'une voiture, on va les voir et on discute on les surprant un peu, c'est marrant. Ils sont dans un espèce de voyage scolaire (type ce que fait Lou actuellement j'imagine). Notre interaction avec Lou est un peu étrange, je reste très distant et je suis un peu triste et déçu de la voir comme si tout était fini et que je ne lui disait pas vraiment mais que je savais que ça ne continuerait pas.</t>
  </si>
  <si>
    <t>flou sur une île avec une fille vers Séoul on dort en tente je ne sais plus pk on est si loin mais ce n'est pas vrmt un voyage. Puis je suis en auberge de jeunesse avec ben et Erwann dans une auberge que je connais que je situe a Amsterdam mais je ne sais pk.</t>
  </si>
  <si>
    <t>je suis avec Tom a une frontière nous avons de la drogue sur nous niq sommes dans des vestiaires et nous nous faisons. Fouilles le douanier fracassé un gars qui est drogué devant ns. Il ne trouve rien sur ns et je rigole même avec le douanier qui voulait vérifier mom sexe alors que de base je ne voulais pas mais on rigole de la taille ensuite. Les douaniers parlent a peine anglais, il m'a demandé si je parlais norvégien ou allemand.</t>
  </si>
  <si>
    <t>je joue au foot avec max et Charlie et moon vient, on la caresse. Puis elle se met a gronder, je pense que c'est pour un chat, je lève les yeux et voir un gros jaguar noir. Les enfants ne l'ont pas encore vu. Je garde mon calme et leur dit de marcher tranquillement vers moi vers la maison. La maison est juste à côté mais le jaguar est vrmt en face mais ne semble pas agressif. Après avoir fait quelques mètres je prends max dans mes bras et dit a charlie de courir vers la porte. On réussit a rentrer et le fauve n'est pas loin grognant et tapant contre la porte. Il se passe pas mal de choses mais surtout la famille est quasi tt la et nous sommes bloqués dedans par peur du jaguar qui des fois réussi à rentrer et je le repousse avec des pic, couteaux de la cuisine que me tends Etienne. Bcp de personnages sont présent puis ne le sont plus forcément ensuite. Puis des coups a la porte comme un humain se font entendre a la porte. C'est Camille, Clem et clara. Je les laisses rentrer elles sont paniques et terrifié. On se réconforte. La nuit arrive et ns sommes dans le jardin pour savoir où le jaguar est. On réalise que dans le champ au dessus ils sont une quinzaine. Nous rentrons donc en étant rapide et discret. La fin est confuse.</t>
  </si>
  <si>
    <t>bataille pour garder un casque dans l'enceinte d'un stade de foot, très violentw des ruses etc, je ne suis pas le pp juste un observateur</t>
  </si>
  <si>
    <t>Damasio nous comptait son livre, j'étais à la fois auditeur et le héros de son livre. Sensation incroyable. J'étais un jeune homme qui volait, était un peu dans une machine avec un ami a lui. Ils se disputent, violemment pour quel que chose d'important. Je crois que le héros veut continuer a faire quelque chose (important mais pas bien). L'autre décidé donc de l'arrêter et avec des missiles lui coupe les bras et les jambes (ça repoussera et aucune douleur c'est un peu des prothèses). On peut quand même voler, je/il vole au dessus d'une grande ville mais c'est très compliqué, la voix du narrateur Damasio plane par dessus et explique le scénario et ce qu'ils se passe. L'air est puissant et la pression énorme, je sens que je peux exploser, compacter etc. Au dessus de la ville des grandes turbines d'aires, je passe dedans c'est très puissant encore une fois. La sensation des changements de pression et d'air est absolument incroyable celui de vol et de vitesse aussi. Je m'envole très au-dessus de la ville désertique, je vais mourir. Quand Damasio terminé l'histoire, la petite assemblé (dizaine de personnes) reprenons notre souffle comme en transe. J'avais souvent la sensation qu'on le racontait l'histoire mais les sensations étaient quand même la.</t>
  </si>
  <si>
    <t>jean massiet boit dans un bar j'ai un pov qui n'est pas le miens puis ça change et je suis la c'est un bar PMU (je ne bois pas) mais il y'a JF et d'autres zions. On va bientôt partir et yoan débarque en étant un peu explosé, braguette ouverte. On se fout un peu de lui parce qu'il va retourner en soirée. Je me rappelle que ça bloquait pour aller aux toilettes.</t>
  </si>
  <si>
    <t>dans une maison en soirée que je ne connais pas mais maison classique. Je suis posé sur un canapé entre Léonie (v) et Camille L a qui je caresse le dos. Sont présent aussi Benoît et Marie. Discussions sur notre relation et ce que j'avais dis a Camille. Elle dit qu'elle est chaud de quelques chose de bref mais intense en relation et on commence donc à s'embrasser. Je me souviens d'un énorme suçon. Globalement dans ce thème quoi.</t>
  </si>
  <si>
    <t>Barnier soirée d'investiture avec plein de politiques, boire champagne avec guetté, meluch etc, je m'insulte avec des gens du rn. On me fout un peu dehors et la y'a des swifties qui sont là donc on prend des photos avec Justin en mode on est des star (jsp ce qu'il fout la). Je repars dans la salle car clémence guette me dit que y'a du champagne. Et on discute c'est très serré, plein de politiques français mais Barnier fair un malaise et renconcera plus tard. BU supermarché massage avec Lou pour la détendre mais ça devient un peu chaud mais y'a du monde dans cette bu - supermarché rayon fruits légumes. Et en plus je devais prendre des banane bleu pour tester avec tam qui m'avait dit qu'elle avait goûté mais que c'était pas si fou mais que Ems aimait bien. Je me dépêche et j'écrase une nectarine dans ma confusion mais je prends les bananes bleu (le lieu est un peu en pente). On sort on mange la banane bleu avec yo et tam c'est un peu genre au miel mais pas si fou. Enfin on sort du magasin et ça me demande un truc sur mon stage mais c'est très confus.</t>
  </si>
  <si>
    <t>Bar seul dans le vieux Lyon avec une bière il est 12h des gens me demandent si je les accompagne a la bu (tam Charlotte et sa d'autre) je dis que non j'ai un rdv a 17h pour l'oreille et tt façon tam écoute pas et rentre ds le métro. En revenant vers la où j'étais Camille rentre ds le restaurant a côté en ayant l'aie de chercher qqn. Je rentre aussi et retrouve Camille avec Clémence. Je m'asseoit avec elle et leur demande si je les dérange pas, on mange ensemble. Puis vu qu'elle ont déjà commander une pizza je demande si je peux aussi commander mais on me dit d'aller en cuisine. Je met super lgtps a y'aller et au final je ne crois que 2 serveurs qui font rien avec qui je discute il me dit qu'il a un cancer de l'oreille et qu'il a comme moi. Je parle pas mal avec eux ils me trouvent sympa. Puis je reviens voir les filles a qui j'explique ça. Je croise ma mère avec Marie Anne dans le resto le hasard est fou. Puis extrêmement flou mais je me souviens d'être dans la cour a roche et que le roi du Rohan s'entraîne avec un bâton que j'aimais bien petit et il me dit qu'il est pas mal pour traquer des gens et me parle comme si j'étais aragorn. réveil sonne</t>
  </si>
  <si>
    <t>vélov vers Bellecour je rejoins ben c'est un peu la manif très chaud sur Bellecour il est avec Pauline mais on rejoint d'autres gens qlq gens de l'ENS, des gens de la fac ; Virgile, Baptiste, Erwann Quentin... On est dans un hôpital / fac pour aller a la grosse manif au dessus mais enft c'est une boîte un peu sombre genre hard rock métal et ça coûte 18e donc au final on y va pas . On voit par contre que c'est devenu très chaud sur Bellecour (le bâtiment est genre colle a la place) on descend pour y aller et on traverse une pelouse a côté de l'hôpital de nombreux gens se piquant avec des seringues et en courant a travers des gèns veulent ns en Vendre. Je finis par me faire piquer par qqn qui était en train de se shooter, j'ai peur et suis énervé donc je m'arrête l'insulte et lui casse la gueule</t>
  </si>
  <si>
    <t>match a Nantes avec supporter et Tom et ben et Samuel Etienne. Des vieux supportées écrivent des croix nazis ds le livre de samiel. On va pour partir mais t'a des des fumigènes devant le stade. Finalement on peut passer tt va bien et on rentre en voiture avec Tom mais il a neiger de fou et je casse la portière qui me reste dans les mains avec la glace mais ça va.</t>
  </si>
  <si>
    <t>Chercher a manger tacos a Lyon et un tacos propose de te remboursés si tu trouve moins chère on cherche donc un autre tacos en finissant celui là. On en trouve un on commande en les arnaquant er ils nous donnent des centaines de places de ciné en se trompant. On les revends a l'entrée d'un ciné.</t>
  </si>
  <si>
    <t>manger avec ma famille et mon papi mais très chelou en mode gp très bizzare parlé mais quasi plus capable de rien et décharné. Puis commence a vouloir faire jsp quoi et ça me fait giga peur donc je me lève et lui il capte rien mais il est quand même chelou. Et il part et des gens doivent le retrouver. Je crois que je pleure dans le rêve tellement ça me dégoûté / peur</t>
  </si>
  <si>
    <t>Guerre atomique avec Israël. Bombardement d'un e zone ds les montagnes frappe de type 3. Avec Léo 2 autres et les parents ont observent, de nombreux avions de copbar passent ambiance stressante. Ensuite grâce aux jumelles de Léo on observe le camp plus loin être pris d'assaut. On fini on court en se cachant et les soldat sont attaqués par des dinosaures a taille humaine. Je trouve une arme et commence même à ns protéger tt en fuyant</t>
  </si>
  <si>
    <t>a declikludic avec Robin. on achetais le katana. Avant très flou je me souviens parlée politique</t>
  </si>
  <si>
    <t>D</t>
  </si>
  <si>
    <t>MEAN_length</t>
  </si>
  <si>
    <t>W</t>
  </si>
  <si>
    <t>Un jour je regarde mon téléphone, j'entends un petit ping et je vois que j'ai un message privé sur Instagram. Je lis le message et c'était une sorte de mix de français, d'anglais, d'espagnol, d'une certaine Marcela Fernandez. Son message me touche en plein cœur.</t>
  </si>
  <si>
    <t>En fait, elle m'explique qu'elle est de Colombie, qu'elle a réalisé en regardant des documentaires de National Geographic qu'en fait, dans son pays aussi, il y avait des glaciers, et qu'en creusant un peu, il y avait seulement un glaciologue qui s'occupait de ces glaciers et que visiblement, personne n'était au courant en Colombie de l'importance de ces écosystèmes. Marcela, elle me contacte parce qu'elle a aussi créé une nouvelle organisation, une nouvelle institution qui s'appelle Cumbres Blancas Colombia. Cumbres Blancas, donc qui veut dire les cimes enneigées, les cimes blanches, en quelque sorte. C'est une association qui rassemble non seulement le glaciologue de Colombie, mais aussi des artistes, des influenceurs, des chefs d'entreprise, la jeune génération et aussi les communautés autochtones. Et Marcella, elle m'envoie au travers de ce message une sorte d'appel à l'aide et de me dire écoute, t'es la seule glaciolo que j'ai trouvé sur Instagram, je me permets de te contacter mais il faut à tout prix que tu viennes dans notre pays voir ce qui se passe et mettre un coup de projecteur sur ces glaciers.</t>
  </si>
  <si>
    <t>Dans mes études, jamais j'avais étudié les glaciers colombiens, jamais j'avais étudié les glaciers tropicaux. En fait, les glaciers tropicaux, c'est des glaciers qu'on trouve le long de l'Équateur parce qu'il y a des montagnes à très haute altitude. Mais à la fin de mon doctorat, j'ai décidé d'emmener mon frère faire le Kilimanjaro, comme des touristes, vraiment pas du tout avec un objectif d'expédition.</t>
  </si>
  <si>
    <t>Et c'est vraiment là où je me suis pris ces paysages de glaciers tropicaux en pleine face. Et je me suis dit, bon, un jour, je me promets, j'essaierai d'étudier ces glaciers. Et jamais, en fait, j'étais arrivée à créer un projet, à créer une expédition autour de ces glaciers jusqu'à ce que je reçoive ce fameux message de Marcella Fernandez. Je constitue une petite équipe, on arrive en Colombie au mois de décembre 2019. Alors déjà, choc de température de dingue. Il fait ultra chaud, il fait très humide.</t>
  </si>
  <si>
    <t>Et tout de suite, je tombe sur Marcela. Marcela, petit bout de femme, mais alors une énergie absolument hallucinante. On n'a pas le temps de poser les bagages à l'hôtel, elle nous embarque directement en fait aller à la rencontre de ces populations des locaux, des autochtones en fait, des communautés cogis qui veulent d'abord échanger avec nous avant même qu'on puisse passer du temps en montagne, passer du temps sur les glaciers. Quand on arrive au village des Cogis, déjà on est un peu en moyenne montagne. On est dans un paysage qui est vraiment somptueux, on est entouré de forêts, dans un endroit qui est assez sauvage. Et petit à petit, on découvre plein de petites huttes qui sont rassemblées autour d'un grand tipi.</t>
  </si>
  <si>
    <t>Et vraiment, moi je me retrouve très très loin de ma zone de confort et je vois que mon équipe aussi ne sait pas trop comment se positionner, on ne sait pas trop même comment leur dire bonjour. On a énormément de respect, très vite pour eux, mais on se rend vite compte qu'on est très déstabilisés.</t>
  </si>
  <si>
    <t>Et en fait, on ressent une chaleur monumentale quand on s'approche d'eux. Très vite, c'est des sourires, c'est des regards. Et Marcela nous fait rencontrer les ancêtres, qui sont en plus magnifiques, habillés en blanc, des pieds à la tête. Et il nous invite très vite à rentrer dans une tente, un grand tipi, au cœur duquel il y a un feu de bois. Et la tente, je me souviens, est très sombre à l'intérieur, tout enfumé. Et on m'invite, avec mon équipe, à nous asseoir sur des troncs d'arbre, sur des grosses bûches. On est entourés de hamacs.</t>
  </si>
  <si>
    <t>Et le silence s'installe. Je pense qu'on a tous la réalisation que c'est vraiment un moment précieux, un moment unique. Et Marcela est la première à inviter au dialogue. Elle me demande de me présenter, d'expliquer ce que je fais. Et petit à petit, eux aussi nous expliquent qui ils sont et surtout quelles relations les Cogys ont avec les glaciers. Les Cogys m'expliquent aussi que pour eux, les glaciers c'est le cerveau de la nature. C'est là aussi où leurs divinités habitent, sont inscrites. C'est un peu le berceau de la nature ces glaciers.</t>
  </si>
  <si>
    <t>Et ensuite on passe à toute une période de chants, vraiment de percussions, de musiques, avec des morceaux de bois tout simplement, aussi beaucoup de légumes séchés qui peuvent faire office de percussion. C'est des chants qui sont répétés, répétés, répétés, pendant lesquels ils appellent leur divinité. Ils demandent la permission, si c'est possible, que moi, mon équipe, on se rende sur les glaciers, et après des heures d'échange avec leur divinité, avec leurs esprits, ils nous donnent la permission de partir sur les glaciers. Et ça se transmet, cette permission, par des cristaux de quartz qu'ils nous donnent dans nos mains. Et donc ces cristaux, je les prends très proche de moi, je les serre très fort avec mes mains et je me dis « bon, elle est là, il ne faut vraiment pas que je les perde pendant l'expédition » parce que c'est vraiment ces cristaux qui vont nous permettre d'avoir finalement tous les esprits de cette nature avec nous quand on sera en train de travailler sur les glaciers.</t>
  </si>
  <si>
    <t>En 2019, les glaciers en Colombie, ils sont étudiés mais ils sont étudiés par une seule personne qui est un glaciologue de légende, qui s'appelle Jorge Luis Ceballos. Jorge a vraiment dédié sa vie à étudier ces glaciers, mais il y a très peu de moyens. Donc la situation, elle est difficile.</t>
  </si>
  <si>
    <t>Parce qu'il y a peu d'aide pour la science, et on est déjà vraiment en train de se rendre compte que les glaciers tropicaux, même si c'est des glaciers en Colombie qui sont à 4 500, 5 000 mètres d'altitude, donc qui sont en quelque sorte un peu préservés par le fait qu'ils sont dans des montagnes très hautes, on sait que c'est des glaciers qui sont en train vraiment de disparaître. Il y a 70 glaciers en Colombie et on a déjà vu certains de ces glaciers qui ont disparu, il y a certaines montagnes qui se sont déjà désenglacées. Et donc la situation, elle est vraiment critique. Très peu de moyens alors que les glaciers disparaissent très vite. En Colombie, on se rend compte que ces glaciers sont super importants. En Colombie, tu as une période humide et une période sèche. Et pendant la période sèche, s'il n'y a pas de pluie, y a pas d'eau qui descend de ces montagnes-là. Et on a vraiment toute une agriculture de subsistance. On cultive beaucoup la patate, on cultive aussi beaucoup le café en Colombie.</t>
  </si>
  <si>
    <t>Et les populations là dans ces montagnes se rendent pleinement compte que si t'as pas de glaciers en fait pendant les périodes sèches et ben t'as pas d'eau quoi. Donc cette situation elle est vraiment critique parce qu'ils sont en train de perdre vraiment leur château d'eau. Et il y a un besoin criant de continuer à les étudier pour vraiment anticiper quel sera le prochain à disparaître, à quelle vitesse ces ressources en eau vont être impactées par le changement climatique.</t>
  </si>
  <si>
    <t>Là on est parti pour 3 semaines d'expédition dans les montagnes de Colombie et je réalise très vite à quel point ce n'est pas une mince affaire. Marcela nous donne rendez-vous à 4 heures du matin à la sortie de notre hôtel. Et là, on est parti pour pratiquement 10 heures de route.</t>
  </si>
  <si>
    <t>Pour se rendre au chevet d'un parc national qui s'appelle le Los Nevados. Et c'est vraiment de la route pas du tout confortable. J'ai vraiment l'impression, enfin, qu'on part à l'aventure. Mais oui, ça secoue dans tous les sens. On est dans une machine à laver. Et très vite, on quitte le bitume pour se retrouver dans des routes qui sont, mais éclatées, complètement défoncées, parce qu'on arrive en fait à la fin de la période d'humidité, de précipitation, on arrive à la fin de la saison humide. Donc clairement on se rend compte qu'il y a eu énormément de pluie, que les paysages sont ravagés, qu'il y a des glissements de terrain dans tous les sens. Mais petit à petit, on commence à gagner de l'altitude, on a les oreilles qui font « pop ». On se rend compte même dans la voiture qu'on commence à avoir un petit peu du mal à respirer, que les températures sont en train de diminuer et les paysages changent complètement.</t>
  </si>
  <si>
    <t>Et assez rapidement, on se retrouve à 4000 mètres d'altitude. Donc ça commence à bien piquer. On arrive à la tombée de la nuit dans ce qu'on appelle un centre d'interprétation. Ce sont des centres qui ont été créés dans les montagnes pour rendre l'accès plus facile à ces glaciers, à ces montagnes. Et là, on est complètement éclaté. On va se coucher et on va passer une nuit où on dort très, très peu parce qu'on a la tête comme une pastèque, on est à haute altitude, on a eu 0 temps d'acclimatation, mais on sait que dès le lendemain matin, l'objectif ça va être de se rendre au chevet des glaciers.</t>
  </si>
  <si>
    <t>Au petit matin, on retrouve l'équipe aussi du glaciologue, Roderick Luis Ceballos, qui est venu accompagner de quelques personnes avec lesquelles il travaille. Roderick, j'en avais beaucoup entendu parler, c'est un glaciologue qui est un peu connu comme le loup blanc, parce qu'il n'y a pas grand monde qui étudie les glacis tropicaux aujourd'hui, et encore moins en Colombie. C'est vraiment le seul à avoir, avec le peu de moyens qu'il a, avec le fait qu'il n'y ait aucune formation pour devenir glaciologue, c'est vraiment lui qui a décidé de tout créer de 0. Et tout de suite, avec Roderay, c'est comme si on se connaissait depuis des dizaines d'années.</t>
  </si>
  <si>
    <t>C'est fou parce qu'en tant que glaciologue, je pense que même sans se parler, on se comprend. On comprend qu'on a la même passion, on comprend les hauts et les bas, la difficulté d'étudier des écosystèmes qui sont en plein bouleversement, en pleine transformation. Y a la même chose qui nous anime. On a le cœur qui bat pour la même chose, pour ces glaciers.</t>
  </si>
  <si>
    <t>C'est vraiment un des glaciologues les plus passionnés que j'ai pu rencontrer au sein de ma carrière. Un glaciologue qui a vraiment à cœur de partager ses connaissances, de partager son histoire et de tout faire pour essayer de préserver ses paysages le plus longtemps possible. Donc c'est un joyeux bordel, clairement, entre mon équipe, Cumbris Blancas, l'équipe de Rodrello et Sebaños, mais il y a vraiment une énergie incroyable. On est tous un petit peu en train de papillonner, on a hâte en fait d'aller voir ce que ça donne ces glaciers. Et donc au lever du soleil, on est encore avec des frontales, on met les sacs au dos, il fait assez froid et on commence une très longue marche pour aller voir le glacier Conejeras. Là je me rends très vite compte que je ne suis pas du tout acclimatée, que j'ai vraiment du mal à suivre le rythme de Rolre.</t>
  </si>
  <si>
    <t>Rolre, il a une la soixantaine, mais une caisse incroyable. Il a vraiment un rythme de dingue dans ces montagnes. Et la chance que j'ai, c'est qu'il marche avec moi, et vraiment il me tient la main en quelque sorte pour m'expliquer le chemin qu'on est en train de prendre. Et c'est un chemin tout étroit qu'on est en train de parcourir. Très vite en fait on va quitter les arbres, la forêt très dense, la forêt tropicale, pour se retrouver entouré d'arbustes.</t>
  </si>
  <si>
    <t>On sent que ces arbres sont un peu dans la lutte. On sent qu'on est dans un climat de plus en plus extrême, de plus en plus froid, où il y a de moins en moins d'oxygène, où le rayonnement solaire est très puissant. Donc c'est plutôt des petits arbustes qui nous entourent, et on ne les voit pas encore les glaciers. Et moi j'arrête pas de regarder autour de moi, de me dire quand est-ce qu'on va quand même commencer à pouvoir apercevoir de la neige, de la glace. Mais autour de nous, vu que les arbres se réduisent en taille, le paysage se découvre. Et en fait, je réalise qu'on est entouré de montagnes monumentales, des montagnes très belles, qui sont pour la plupart en fait en Colombie des volcans. Et ce qui est dingue, c'est qu'au loin, on voit un des volcans qui s'appelle le Nevado del Ruiz, qui, de temps en temps, fait des petits pets de fumée. Mais petit à petit, pas après pas, on se retrouve dans une vallée qui commence à s'inscrire. Et en fait, c'est vraiment le signe de passage des glaciers.</t>
  </si>
  <si>
    <t>On ne voit pas encore la glace, mais je reconnais tous les indices que les glaciers laissent derrière eux. Les glaciers sont très forts pour polir le paysage autour d'eux. Donc, c'est un peu comme si du papier de verre était passé sur les rochers. On voit que les rochers ont été polis, on voit qu'il y a des marques, des indentations, qui ont été creusées par le passage des glaciers. Donc, je retrouve des paysages que j'arrive à reconnaître. Et enfin, on s'arrête de marcher. Et là, on voit devant nous ce cirque de montagne, en son creux, en son sein. On voit enfin ce premier glacier.</t>
  </si>
  <si>
    <t>Et là, Rolre, je réalise que Rolre est très attaché à ce paysage-là. Rolre me dit, ben voilà, ça c'est le glacier Conejeras. C'est le premier glacier qu'on a étudié en Colombie. Et donc depuis qu'il a la vingtaine au Rolre, tous les mois, il va voir ce glacier Conejeras.</t>
  </si>
  <si>
    <t>Et c'est vrai que ce glacier, je l'avais trouvé dans les études scientifiques, je l'avais trouvé dans les rapports, c'est le glacier, si ce n'est le plus connu de Colombie, c'est le glacier tropical le plus connu au monde. C'est vraiment Rolleray qui l'a mis sur la carte, comme on dit, alors que personne ne s'intéressait aux glaciers tropicaux, personne ne s'intéressait aux glaciers de Colombie. Avec mon équipe on a vraiment la chance en fait de faire la rencontre de ce géant de glace, alors qu'il est un géant pour la Colombie, mais c'est quand même un petit glacier par rapport à ce que j'ai l'habitude de voir. C'est un glacier qui fait peut-être 500 mètres de long, 500 mètres de large. On voit que c'est un glacier qui a déjà perdu pas mal d'épaisseur. Il ressemble un peu à une sorte de pancake de glace. C'est un glacier qui est un peu tout rond, niché dans ce cirque rocheux qui est vraiment dominé par un volcan qui s'appelle Santa Isabel.</t>
  </si>
  <si>
    <t>Et donc, il y a un contraste très fort entre un glacier, qui est un corps beau, un corps blanc, entouré par ces roches qui sont un peu ocres, un peu ferugineuses, un peu rougeâtres. Et on a ce soleil qui nous atomise. En Colombie, c'est vrai que quand on est proche de 4 500, 5 000 mètres d'altitude, la radiation, les UV sont ultra violents. Mais je me rends compte de la chance qu'on a avec mon équipe de pouvoir passer de ce lit rocheux à marcher ses premiers pas sur le glacier Conejeras.</t>
  </si>
  <si>
    <t>On met nos crampons, on met notre casque, on a notre piolet à la main et on a vraiment l'impression d'être télétransporté dans une autre planète sauf que là on est en Colombie, on est sur des glaciers. Quand on arrive sur place, avec mon équipe, on a quand même quelques objectifs scientifiques. On est quand même des scientifiques, donc on a décidé qu'on allait aider le plus possible le glaciologue local à mesurer ce qui se passe, à porter de l'équipement, à essayer de mettre la main à la pâte. Et moi, l'outil principal que j'amène, c'est des appareils photo time-lapse.</t>
  </si>
  <si>
    <t>Ces appareils photo time-lapse nous permettent de prendre des photos des glaciers toutes les heures, toutes les demi-heures, toutes les 10 minutes. Et ça nous permet d'avoir des pères-dieux qui vont regarder ces glaciers à une fréquence très haute, beaucoup plus fréquemment que nous les scientifiques. Mais ce qui est génial, c'est que Roderay nous montre tous les instruments qu'il a installés. C'est un des meilleurs laboratoires pour comprendre comment les glaciers réagissent. Donc avec mon équipe, il m'emmène voir la station météo. Il nous emmène voir ce qu'il appelle les balises d'ablation qui nous permettent de mesurer si le glacier perd en épaisseur, de plus en plus de cette balise va sortir de la glace, va être exposée à l'air. Et donc, il nous explique comment il a créé tout ce programme de surveillance de ce glacier et pourquoi c'est si important pour lui de continuer à surveiller ce glacier. Ce glacier, c'est vraiment le premier glacier tropical que je vais aborder avec cette idée d'aider à l'étudier.</t>
  </si>
  <si>
    <t>Dès que je marche sur le glacier, je suis assez bouleversée. Je suis très touchée par le fait d'être là avec mon équipe, avec quelques cogis qui nous accompagnent, avec Cumbrés Blancas, avec Rodré. Mais très vite, cette joie, pour moi, elle se retrouve éclipsée par ce que je vois.</t>
  </si>
  <si>
    <t>Et je ne peux pas m'empêcher d'être assez triste, assez bouleversée par l'état dans lequel le glacier est. Et j'essaie de trouver des signes d'espoir. Je me dis, il y a encore un peu de neige sur le glacier, c'est toujours bon signe. Ce glacier, la raison pour laquelle il est encore là, c'est évidemment parce qu'il est à haute altitude, mais parce qu'il est vraiment préservé par ce cirque rocheux qui le protège un petit peu de la radiation UV et qui permet, quand la neige tombe, que le glacier peut petit à petit se recharger en neige et reformer de la glace. Mais vraiment, il n'a pas bonne mine.</t>
  </si>
  <si>
    <t>On voit à quel point le glacier a perdu en épaisseur, à quel point le glacier s'est dégonflé. Et vraiment, ce qui me choque, et je le dis assez vite à Rolleray, je dis « Mais ce glacier, il a combien de temps devant lui ? » Parce que vraiment, quand je le regarde, je me dis « C'est pas possible, il va pas avoir long feu devant lui. » Et là, Rolleray me dit « Oui, écoute, d'après les mesures qu'on récolte, on pense que ce glacier devrait avoir, allez peut-être 10, on l'espère 15 ans encore devant lui. Donc il y a encore de quoi faire, il y a encore des données à récolter, il y a encore un peu d'espoir sur ce glacier. » Là, je lui fais parfaitement confiance, c'est lui le meilleur expert de ce coin-là.</t>
  </si>
  <si>
    <t>Roderay, quand il parle du glacier Conejeras, on a l'impression qu'il parle à un membre de sa famille, on a l'impression qu'il nous parle de sa fille, de son fils. Ce n'est pas un écosystème minéral, il nous parle véritablement de quelque chose de vivant. Et ça c'est peut-être le défaut qu'on a quand on est glaciologue et qu'on passe beaucoup de temps sur les glaciers, mais on les personnifie ces glaciers, on leur donne un petit peu d'humanité parce que aussi ça nous aide à mieux les comprendre et à mieux les respecter.</t>
  </si>
  <si>
    <t>Après avoir passé quelques jours au chevet du glacier Conejeras, on va parcourir d'autres massifs montagneux où il y a aussi des glaciers. Mais ça tient vraiment à cœur à Jorge et à Cumbres Blanca de nous emmener voir d'autres endroits où il y a des glaciers qui sont assez différents, des glaciers qui sont très crevassés, qui sont très difficiles d'accès. Là, on ne va pas marcher sur les glaciers, mais on va juste vraiment s'approcher d'eux le plus possible. Ce moment-là, pour moi, c'est vraiment le moment où je me dis il faut vraiment qu'on fasse quelque chose. Le monde entier devrait comprendre qu'il y a des glaciers en Colombie, que ces glaciers ne sont pas du tout en bon état, et que ce qui se passe sur les glaciers de Colombie, malheureusement, ça pourrait se passer partout sur Terre aussi. Voilà, mon cerveau fonctionne à 3000 à l'heure, malgré le manque d'oxygène.</t>
  </si>
  <si>
    <t>Et je pense que c'est un déclic total pour moi. Quand on commence à redescendre des montagnes et à retourner à Bogotá, en fait je suis super triste, déjà de quitter ces glaciers, de quitter ces paysages-là. Et j'ai un peu le poids de la responsabilité, je pense, sur mes épaules. Parce que je comprends l'investissement que Cumbris Blancas, que Jorge a mis dans moi et mon équipe. C'est du temps, c'est de la transmission de connaissances, de passion. On nous a passé la torche, on nous a passé un bâton et on espère qu'on va faire le relais, en partageant la voix des Cogis quand on entre dans nos pays respectifs.</t>
  </si>
  <si>
    <t>Types</t>
  </si>
  <si>
    <t>Report</t>
  </si>
  <si>
    <t>I'm struggling with some words and getting help from other people. They come in envelopes. It's not quite a classroom and there isn’t a teacher but we're trying to deal with these difficult and complex words. Earlier I was in a group of people traipsing through somebody's house as a shortcut and they didn't like it very much. don't take shortcuts.</t>
  </si>
  <si>
    <t>Daydream about a book I'm writing, whether the characters should all be in waking state or dreaming state or have the entire book happen in dreaming state. I off got lost in visual space seeing myself walking around the college campus with the setting and I had visualisations of all of the different characters in that part of the story.</t>
  </si>
  <si>
    <t>I am in a castle and there's some kind of teaching going on. I have to choose courses I have to choose content. There is a lot of shuffling around with books and content.</t>
  </si>
  <si>
    <t>I'm in a little boat and it is all made out of Lego, the toy Lego and I'm looking around me trying to figure out why everything around me seems to be made of Lego, how come everything has been turned into Lego.</t>
  </si>
  <si>
    <t>I am in a castle again this time taking care of plants. I seem to be the plant instructor and I'm doling out plans to people helping them get started trying to avoid having people put plants on top of my car like don't scratch the paint, don’t put stuff on top of the car and it’s a horrendous amount of effort going into taking care of these plants.</t>
  </si>
  <si>
    <t>I'm in the presence of a large group of people and there's thunderous applause somebody is very pleased with something that's just happened as loud and they like what I'm doing but I can't remember what I was doing but there is a lot of applause and it came on not so much as verbal as kind of like a metal explosion. It just occurred.</t>
  </si>
  <si>
    <t>I'm driving in a fast car somewhere. I'm showing a group of students how to look at photographs and categorise them as to what the different qualities are of the photographs.</t>
  </si>
  <si>
    <t xml:space="preserve">2 thinking of seeing many things at once and I found myself with my eyes thrown out of focus not looking at anything while trying to take in all of the surroundings and all of the movement of the birds and the squirrels more or less as a single picture like can I see it all many things moving at once and catalogue it and mentally understand it without focusing on the thing in my focus. </t>
  </si>
  <si>
    <t>I am in a kind of castle. There are a lot of words around. I'm sort of the word master or the head of the castle where the words are. Someone is trying to usurp my position or challenge my position and there's a lot of words going back and forth about the role that we have with the words. Words in a castle.</t>
  </si>
  <si>
    <t>I am in a castle. There is a magical kind of guy there he's teaching me how to do some magical things. He has a kind of three bowl monkey game going on and he's showing me how that works and there are other things that he's teaching me.</t>
  </si>
  <si>
    <t>I am in college, in school I am signed up for a bunch of classes every class I go to is full there is a whole conversation going on about how their oversubscribed too many people have signed up for the classes.</t>
  </si>
  <si>
    <t>I am in a castle with a lot of other people and there's a lot of food being moved around. Platters of food, a large dining hall and people acting as people do and there is a big pile of food on platters they’re being kinda crazy and grabbing stuff.</t>
  </si>
  <si>
    <t xml:space="preserve"> there's a lot of composing in concocting chemicals and potions and there's a great deal of debate about which ones do what and when to use them and in the middle of all that I hatched out an egg and out came a living turtle.</t>
  </si>
  <si>
    <t xml:space="preserve"> where we're driving around, driving a Mercedes and flip the car somehow and everybody were with his going to abandon being there we flipped the car back over somehow something's going on where the government has resigned and one of the people I'm with is like hereditary king or related to the government and that person's gonna go put the government back together again or go be the government in exile because they know how to do it.  they are walking away wrapping toilet paper around their hand. Must be messy business that government stuff.</t>
  </si>
  <si>
    <t xml:space="preserve"> watching my grandfather try to soak a bumper sticker off the hood of his car that I put there. I was a little child maybe five or six maybe seven years old.  reviewed various versions of things I had done that were irritants too other people.</t>
  </si>
  <si>
    <t xml:space="preserve"> starting off the words bedtime story and I got lost often mental space thinking about reading stories to children and thinking about how my kids reacted to having stories read to them what my wife said and thought thinking about my father and him reading stories to us. </t>
  </si>
  <si>
    <t>I am at some kind of a festival. There are food trucks and we're walking around in the vicinity of the food trucks trying to figure out what they have, looking at the different choices and someone who seems to be in authority yells: “flip the food trucks” as if we are going to turn them over and be fed.</t>
  </si>
  <si>
    <t>I'm in a hotel lobby somewhere there's all kinds of political activity going on. People have signs and there's a lot of discussion and argumentation going on about political candidates and posters and signs and stuff.</t>
  </si>
  <si>
    <r>
      <t>I was with this massive group of people, like probably more than 70 or 80, and we are in this huge complex. And we were playing this massive game, where we were separated into different teams. And somehow we had like a gun somehow, but not like a gun that killed you, not a real one. And we were playing this massive game with like, if you pointed the gun at somebody who wasn’t in your team and like shut it, kind of like laser tech, like the other person would like die and you would, not literally die but just like, be out of the game. And we're playing this massive game with like all of these different teams. So, we all had to like hide strategically and like when it was our, we could like trying like defeat as many of the enemies as possible. It was really awesome. My friend A.</t>
    </r>
    <r>
      <rPr>
        <vertAlign val="superscript"/>
        <sz val="12"/>
        <color theme="1"/>
        <rFont val="Times New Roman"/>
        <family val="1"/>
      </rPr>
      <t>3</t>
    </r>
    <r>
      <rPr>
        <sz val="12"/>
        <color theme="1"/>
        <rFont val="Times New Roman"/>
        <family val="1"/>
      </rPr>
      <t xml:space="preserve"> was there as well but we are on different teams, although I had a chance to get him on my team and I didn't. That was silly. Oh yeah like so like you know I was just hiding behind. Yeah, so I woke up because like my team were all like underneath this barricade that I built for them, which had somehow stretched to go all around us and there's a team just on the other side of the barricade and they just started like putting their hands through the cracks in the barricade. And I realised that if they had the gun and, then they could shoot all of us like sitting ducks. So, I was like screaming at my team like: “bite their hands, if I put their hands through!” like literally like: “Bite their hands” . It's like screaming at the top of my lungs </t>
    </r>
  </si>
  <si>
    <r>
      <t xml:space="preserve"> me and this group of other people had to like walk down this really long peninsula to the very end for this big event. And eh yeah like a different ex girlfriend of mine  was there as well  …</t>
    </r>
    <r>
      <rPr>
        <vertAlign val="superscript"/>
        <sz val="12"/>
        <color theme="1"/>
        <rFont val="Times New Roman"/>
        <family val="1"/>
      </rPr>
      <t>4</t>
    </r>
  </si>
  <si>
    <t xml:space="preserve">… I was going to like university or something, and eh like studying. And  this friend of mine was studying too in the same course.  she started to like wanna hang out with me in the breaks and stuff like that and like kind of like sit together or snuggle a little bit which is nice, was nice  but then she had had this other person that she would snuggle with sometimes too which is fine especially because another friend of mine was going to come really soon so then I would have another person to snuggle with as well </t>
  </si>
  <si>
    <t xml:space="preserve"> I'm thinking about just putting stuff together, I'm just putting stuff together in different ways like thinking about possibilities, thinking about ideas, thinking about like things I've been working on, things that people have said that I find interesting that make me look at something differently.</t>
  </si>
  <si>
    <t xml:space="preserve"> visiting this person like in the countryside. I went and I stayed with this person for like a couple of nights and like it took me a little while, I didn't realise it at first but I realised that like a person I was staying with was like basically, it was this person that did it that I know  so stay with this guy and I didn't realise it was this mental guy at first 'cause reasons, but then I did and we just fought like a lot like even like physically, so I left and went to my parents so my parents and stuff like that . Oh no, I have totally forgotten just a minute ago I knew everything and it was all linked up and it will make sense Oh no]</t>
  </si>
  <si>
    <r>
      <t xml:space="preserve"> that I was like on a road trip with my ex girlfriend and maybe another friend. And like her dad needed her help and he was like not doing very well. He was like kind of a dangerous person I don't know,  in my dream it was like a dangerous person. And we're in </t>
    </r>
    <r>
      <rPr>
        <i/>
        <sz val="12"/>
        <color theme="1"/>
        <rFont val="Times New Roman"/>
        <family val="1"/>
      </rPr>
      <t xml:space="preserve">CountryA </t>
    </r>
    <r>
      <rPr>
        <sz val="12"/>
        <color theme="1"/>
        <rFont val="Times New Roman"/>
        <family val="1"/>
      </rPr>
      <t xml:space="preserve">and in a specific place and it seemed like he just come out of prison or something. Anyway, like I had to drive, I was driving and I had to drive like to this place where he could hitchhike from, where like it would be quite likely that he would arrive at his destination. So, finally we dropped him off and then,  but at some point I was actually at a different ex girlfriends place as well, </t>
    </r>
  </si>
  <si>
    <t xml:space="preserve"> I became quite aware the silence around me or kind of just like those noises, the stillness of the noises around me. And being quite aware of my feelings of happiness, fulfilment and just thought about how lucky I was and how grateful and just like the rawness of being alive. And that just kind of just sat with that for a while </t>
  </si>
  <si>
    <t>And you know I thought about some things, conversations that I had had recently, plans for the future. I got images coming into my head, all like memories or images of things you know. I thought about things that I want to do  just kind of like different images and imaginations.</t>
  </si>
  <si>
    <t xml:space="preserve">I was walking around and I met these two 20 year old girls that I met at a festival in the summer and they were like quite vivid compared to the other things in my dream like vivid in terms of colour.  and they were wearing these white clothes which were really similar to these clothes that another friend of mine was wearing a few years ago. And I walked around in this world like in first person like I was there not like watching myself walk but like as you know as I normally do and well, </t>
  </si>
  <si>
    <t xml:space="preserve">I had a few different like viewpoints through, over the course of quite a long time where I was on this big like property like a big farm kind of thing and at each of the different viewpoints I was I had quite a different feeling about how it was and what I was doing. But I couldn't see myself,  but there's several and the I had this different viewpoint and something interesting happened to me that had never happened to me before from that new viewpoint. I saw myself several times and  I saw the people that I had been, when I had the other viewpoints  and each one was different but it was definitely recognizable as me definitely, like with different hair and different manners, but me and there is at least there's at least three mes including that me that saw the other two I think there was more likely four. </t>
  </si>
  <si>
    <t>but my sense of time just got like really spaced out. like long, and like I just stopped hearing any meaning in what she's saying and was just completely thinking about like kind of problems or like things that I have to work on a little bit more, to like move on.</t>
  </si>
  <si>
    <t>this like weird virus thing which like you know heaps of these elephants and infected elephants would like turn black and soupy and would like run around chasing everybody and then I managed to get to this like safe soon where there wasn't any virus which was nice. …</t>
  </si>
  <si>
    <t xml:space="preserve">…  my Japanese friend and like dreamed about him like doing fun stuff in Japan like I don't know, doing like comp man stuff like it turned out that he was some kind of comp man like he would </t>
  </si>
  <si>
    <t xml:space="preserve">I was like sitting in the classroom and my teacher and a bunch of the other students who so like many of them were familiar to me like friends of mine from different places. We were all singing songs to each other, like some cover songs, mostly cover songs yeah there’s some really talented music coming out of my dream and I also played some songs which was really nice. </t>
  </si>
  <si>
    <t>I was one of the South Park characters,  And I was in this video game world, which was like a fighting world and there were cheat codes that I could put in in order to get like money or guns or something like this. And I went off on my own to buy McDonalds from a place, like I had unlimited money, so I could just buy as much food as I wanted and I was separated from the other South Park kids which were like my team but then kind of like a bunch of bad men started pouring in and I tried to, I got some guns from the cheat code and I tried to, I killed them but none of them seemed to be dying even though I was shooting them with the guns and then my friends arrived as well but we couldn’t overcome the enemy for some reason, but they all went out through this door</t>
  </si>
  <si>
    <t>I was daydreaming with thoughts mostly, so thoughts will pass into my mind, things that I've been thinking of, whether it's plans for the future or my thoughts about some situations in my life like my thoughts about relationships with people I know.  thinking about like you know my relationship with somebody else or what I'm doing tomorrow.</t>
  </si>
  <si>
    <t>I was a race car driver. I was driving, it wasn't really on a specific race track but one of those sort of country ones. I just remember there was a lot of speeding, some crashing, some fixing up with my car. That was really most of what I remember is driving the car, driving the car around country roads but I'll still race car driver in my car, that I have now. But not an actual race car, I was driving in my car  being the car driver.  there were people there that I interacted with, but there weren’t specific people.</t>
  </si>
  <si>
    <r>
      <t xml:space="preserve">Again there was still familiar people in it, all my close friends from </t>
    </r>
    <r>
      <rPr>
        <i/>
        <sz val="12"/>
        <color theme="1"/>
        <rFont val="Times New Roman"/>
        <family val="1"/>
      </rPr>
      <t xml:space="preserve">CityA </t>
    </r>
    <r>
      <rPr>
        <sz val="12"/>
        <color theme="1"/>
        <rFont val="Times New Roman"/>
        <family val="1"/>
      </rPr>
      <t xml:space="preserve">was in it,  I had a job, an office job there. They were sort of following me around, my dad was there at the end. Something went wrong and we got in some boxing match. It's like a Friday night after work, I wanna go straight home, but my friend was talking me into going to the pub. And instead we will get to some boxing, big boxing event, I am not really sure who was fighting, but you know someone, something big. And we went to drive off with my car, there was something with my car, so I got my dad to come and I called up my dad to come and fix it or something, something like that, or he was there and then we called someone, a mechanic or something. , it was office stuff, so I was working in an office, presumably in </t>
    </r>
    <r>
      <rPr>
        <i/>
        <sz val="12"/>
        <color theme="1"/>
        <rFont val="Times New Roman"/>
        <family val="1"/>
      </rPr>
      <t xml:space="preserve">CityA </t>
    </r>
    <r>
      <rPr>
        <sz val="12"/>
        <color theme="1"/>
        <rFont val="Times New Roman"/>
        <family val="1"/>
      </rPr>
      <t xml:space="preserve">and going-ons there, </t>
    </r>
  </si>
  <si>
    <t>there was a big house.  dogs sort of in the house or probably even surrounding the house. Not really sure why I was there, wasn’t really a lot of danger or suspense. It was more just strange, strange as to why I was there on my own with dogs that I been put in there because I was sick or something, maybe. It was definitely night-time. Definitely wasn’t sunny, definitely wasn’t summertime. Could’ve been the northern hemisphere maybe.  walking around this really big house, there being dogs there.</t>
  </si>
  <si>
    <r>
      <t xml:space="preserve">I was camping or living in a caravan park, in a tent I was camping with all these other people. That was here in </t>
    </r>
    <r>
      <rPr>
        <i/>
        <sz val="12"/>
        <color theme="1"/>
        <rFont val="Times New Roman"/>
        <family val="1"/>
      </rPr>
      <t>StateA</t>
    </r>
    <r>
      <rPr>
        <sz val="12"/>
        <color theme="1"/>
        <rFont val="Times New Roman"/>
        <family val="1"/>
      </rPr>
      <t xml:space="preserve">, I think I was doing it just to save money. Then after that I was back in my old apartment in </t>
    </r>
    <r>
      <rPr>
        <i/>
        <sz val="12"/>
        <color theme="1"/>
        <rFont val="Times New Roman"/>
        <family val="1"/>
      </rPr>
      <t xml:space="preserve">StateB </t>
    </r>
    <r>
      <rPr>
        <sz val="12"/>
        <color theme="1"/>
        <rFont val="Times New Roman"/>
        <family val="1"/>
      </rPr>
      <t xml:space="preserve">talking to a guy who used to own a gym that I went to for many years. I was trying to arrange strippers for him, because girls used to stay with me. And then after that I think it went onto something else, but it was either fire services or something going on at my home here </t>
    </r>
  </si>
  <si>
    <r>
      <t xml:space="preserve"> about the US election again. So, the results, the controversy, who is yeah, Trump and Biden were there. I was there, I was living at my parent’s house in </t>
    </r>
    <r>
      <rPr>
        <i/>
        <sz val="12"/>
        <color theme="1"/>
        <rFont val="Times New Roman"/>
        <family val="1"/>
      </rPr>
      <t>StateC (not US)</t>
    </r>
    <r>
      <rPr>
        <sz val="12"/>
        <color theme="1"/>
        <rFont val="Times New Roman"/>
        <family val="1"/>
      </rPr>
      <t xml:space="preserve">. Yeah, it was all about the controversy, well the controversy with counting the votes now. Votes being counted that should've been counted, maybe like you know dead people voting or you know oh just non US citizens. I don't know why, what we had to do with it, but maybe we were just watching in on the TV, I don't know, but again it was all current affair based: election, conspiracy theories, yeah like I said I was living with my mom and dad again. </t>
    </r>
  </si>
  <si>
    <r>
      <t xml:space="preserve">trying to cross one of the borders here in </t>
    </r>
    <r>
      <rPr>
        <i/>
        <sz val="12"/>
        <color theme="1"/>
        <rFont val="Times New Roman"/>
        <family val="1"/>
      </rPr>
      <t>ContinentA</t>
    </r>
    <r>
      <rPr>
        <sz val="12"/>
        <color theme="1"/>
        <rFont val="Times New Roman"/>
        <family val="1"/>
      </rPr>
      <t xml:space="preserve">. And not being able to, getting stuck somewhere,  Sort of, trying to go places and then not being able to and then things going wrong and more things going wrong. Yeah, there were no particular people there. </t>
    </r>
  </si>
  <si>
    <t xml:space="preserve">I was at a remote part of the country so probably the outback, the dessert, there was a jeep, maybe some saltwater, saltwater lake. Not really sure why I was there, don’t think there were other people there if there were, it was quiet they weren’t talking or anything, it was quiet of being in such a remote area. </t>
  </si>
  <si>
    <t xml:space="preserve">My daydream today was really fictionalized accounts of, I guess, situations in my household.  Thinking about a particular household issue. It was just daydream between myself and my housemate, and stuff in the household that conceivably could happen, </t>
  </si>
  <si>
    <t xml:space="preserve"> was mainly camping. I was in a camping group, went on camping trips to like, I don’t know if it was Antarctica, maybe not that cold, but these remote places. There was a lot of empty tents, like all lined up, there was another woman there that was presumably me, maybe some other faces, people scattered about. It was just a lot of camping and hanging out in the wild. A lot of remote sorts of places.</t>
  </si>
  <si>
    <t xml:space="preserve">First, I was in some kind of camp, detention center maybe, something like that. Some kind of facility, I think I was there I’m not sure if it was me but, there was that. Then, it was about, there was about, there was some biographies in there. There was a basketball player called , something to do with him playing baseball, Reggie Miller, some with those two guys, maybe they wrote books, and I don’t know, something about that. Then I was on the set of a sitcom with all these twins, or siblings anyhow. Maybe some of them were just siblings. One of them had a face that a girl I used to know but I didn’t know her very well. </t>
  </si>
  <si>
    <t xml:space="preserve"> earlier were about arguments with my housemate, some real, a lot of them imagined. Just I guess dreaming up situations that could happen as far as I guess overseeing something around the house and then sort of imagining the worst-case scenario. How that could play out into an argument, </t>
  </si>
  <si>
    <t>Again, it was a situation where I was with someone I used to work with but someone completely different from the people yesterday.  Yeah, some reason we were working together, and I was helping her with these issues. Some reason our work’s place was my mums quilting studio, a larger version of it is what It seemed like. Sort of had a few built in, few familiar sort of, surroundings that people put in, but they weren’t really being used to what they are actually used for. So, they were just sort of I guess tweaked a little bit. And I was there but mainly, it felt mainly like I was in a support role, and they were the ones who were actually having the real dramas or potential dramas. I think at some point maybe I was helping them from or maybe I think some of the dramas I thought I was helping them from I got wrong and then it did cause drama.</t>
  </si>
  <si>
    <t xml:space="preserve"> There was violence, there was wolves there was even like a covid outbreak. I reckoned it was cold and I had a like really long beard, it was a warm , there was blood oh it was definitely a lot of trouble. There was a fire department, like emergency services sort of going back and forth. </t>
  </si>
  <si>
    <t xml:space="preserve"> an old workplace. A workplace with old work colleagues.  So, everyone was in the dream, sort of appeared as they were in that point of time. There was a few sort of, fast forward cycles maybe. Most of it took place in the past whether it was around that time or I actually worked there. </t>
  </si>
  <si>
    <t>Pretty much a family Christmas. It wasn’t really anything too unusual about it. I was at my mum and dads house, some family members were there, children and stuff.  But yeah, it was really, maybe it was a mashup of a few past Christmases, or maybe I envisioned this one to be,  Just a gathering, hanging out with the people that are normally there for Christmas.</t>
  </si>
  <si>
    <t xml:space="preserve"> I started imagining an email I was going to send to somebody. I was, I became almost completely unaware of my food.  and in my mind’s eye the computer screen and some vague words written across it, and in my head, I was dictating what I was going to say. I couldn’t see the words specifically what I was dictating I could just see a screen with an email format and some words on it, but no specific detail. The words were all articulated words, with a kind of tone of voice that I was thinking about. </t>
  </si>
  <si>
    <t xml:space="preserve"> there was a long list written on a whiteboard in red pen of like different topics that I could study. And one of them had like therapy of victims of family violence or something like this. And all of these topics were around psychology, therapy sort of thing, and I remember getting fixated on this. When I say fixating, I mean it was like the center of attention, I wasn’t present in the scene at all, the image just kind of presented itself of its own accord to, and came to the center of my mind’s eye. And then the next image that followed this was like a guru on hill, like a brown, skinny man,  he recognized me and had a name, one he had in real life or in real life was like a guru. He was standing on a hill on one leg. It was a moving image except that it was kind of like tilted, kind of layered scrapbook of facts, </t>
  </si>
  <si>
    <t xml:space="preserve"> I was walking on the side of the road. In a busy, dusty street and I think I was looking for a bus, I can’t remember why I was walking along trying to find a bus stop maybe. And I saw two girls that I used to know, I think they were actually at the bus stop. Or around the area near where the bus stop was. They were both dressed all in black and they were sitting on the back of like a little motorbike, I didn’t perceive this straight away, when I started talking to them like “oh hi,” I think one of the girls was a girl I knew form high school hadn’t seen her since high school, the other girl was a girl in real life have not really seen outside, didn’t really know from high school knew from a different moment in my life but in my dream I recognized and perceived as being from my high school. And I started chatting, went to them and they both looked first like they didn’t recognize me but when they recognized me it kind of seemed like they didn’t really want to talk to me bit I wasn’t bothered I was kind of chatting with them like “oh how are you.” A part of me was being a little stubborn, I wanted to talk to them I wanted them to acknowledge me and talk to me so I kept chatting with them, really like relaxed sort of way, and I was asking what they were up to, asked them what they were doing they said they were about to go travelling I think they said some specific place they were going to but I can’t remember where it was and I asked them if they were going to catch the bus and they said no were going to going a motorbike and I perceived that they were sitting together on a little scooter motorbike, like a motorbike but like a very small motorbike. And I think maybe I asked who they were going with or something and by then I kind of perceived there was more people around them a little bit separated, they were all also dressed in black. These were people i didn’t really recognize, kind of vaguely familiar. It was like a big kind of, like a bigger girl with some gothy clothes on that was a little bit more familiar, then were a couple of others who weren’t familiar at all. And they were all tending to their motorbikes and I think one of them was getting something out of a little package and it kind of looked like they were doing drugs like taking pills or something, I kind of perceived that vaguely, but it was all very casual and relaxed. And I think in front of me as I was talking to them, the whole group of them were in front of a big junk shop. Like a big bizarre with old dusty shitty furniture, stuff like that. And I think in front of me as I was talking there was like a mirror, I vaguely perceived my own reflection in the mirror.</t>
  </si>
  <si>
    <t xml:space="preserve"> think about a conversation I just had with my partner, we were talking about potential plans in the coming year, I was talking about the things I wanted to do, the kind of education things I was potentially looking at. And I started to daydream about this conversation, so I was getting all, I was feeling like an excited emotion and I was narrating this story of what I was going to do in my head, and those unintegrated but relevant images kind of appearing secondary to the words.</t>
  </si>
  <si>
    <r>
      <t xml:space="preserve">My dream last night or this morning when I was waking up. I was with my mum and she was kind of like, a more detached figure. And we were at my house,  and she was with me at my house. And she told me that, we were kind of just chatting, we were going to go out for lunch but it wasn’t really like, it was almost like I didn’t know her very well in my dream she was like almost like a bit of a stranger. And she told me that my mum in </t>
    </r>
    <r>
      <rPr>
        <i/>
        <sz val="12"/>
        <color theme="1"/>
        <rFont val="Times New Roman"/>
        <family val="1"/>
      </rPr>
      <t xml:space="preserve">CountryA </t>
    </r>
    <r>
      <rPr>
        <sz val="12"/>
        <color theme="1"/>
        <rFont val="Times New Roman"/>
        <family val="1"/>
      </rPr>
      <t xml:space="preserve">had passed away, had died really suddenly and that she hadn’t been ready and that she’d had thought she’d have more time. And in the dream I took a little while to process this news because like I was kind of like at first I wasn’t really understand of like why didn’t anyone tell me. And then I was kind of like, suddenly having to come to terms with the fact that I was never going to see her again. Even though, and then she was suddenly not in my house anymore she was just a memory. And I started to cry, I started to cry, and I wasn’t really crying tears I was just crying like sobbingly making sounds. Suddenly coming to terms with the fact that I wasn’t going to see my mum anymore, ever again. </t>
    </r>
  </si>
  <si>
    <t xml:space="preserve"> I think about my cell phone, things I had to do about my day. And it’s kind of like the pictures of my dream, kind of became all these freeze frames, kind of like a scrapbook of facts where some little snapshots of some kind of real integrated narrative. Kind of disintegrated and became imposed with all this kind of other nonsense, thoughts about my cell phone, some other thing and I had like an image of my dream and then there was something like a hundred, some sort of weird title like “a hundred details for health” or something and there was something like words and some computer text put over the top and I was thinking about things on this list, </t>
  </si>
  <si>
    <t xml:space="preserve"> And I started reflecting on the dream that I had last night. And I kind of saw the images as, because when I had the dream I experienced like an immersive scene, it was all these images, and I could kind of see the images but then on top of the images, and almost more prominent, I was narrating what I was seeing, which was not the same in the dream, so I was narrating… I can’t remember what I was saying,  but I was narrating the fact that I was walking along and I saw two girls sitting on a motorbike. </t>
  </si>
  <si>
    <t xml:space="preserve"> it was my house, but it was a much more spacious version of my house. The house that I’m living in now in real life but it was much, much bigger.  I wasn’t talking with my partner but there was another couple, I think, and they were kind of familiar, I can’t remember who they remind me of now but in my dream they kind of fit very much into my house, very like natural familiar people I was conversing with, like friends. And we were having a long conversation, can’t really remember now the content of the dream very much at all but I remember that the dream was very long and very talking based. I, as the person I am now, was conversing with these people. One in particular out of the pair, but I was doing most of the listening in person, was explaining to me a lot. Maybe like technical, kind of technical advice, I can’t really remember the content, but I remember feeling like it was very helpful, very didactic like they were teaching me a lot. </t>
  </si>
  <si>
    <t xml:space="preserve"> But I imagine that I’ve got a string that goes from my heart to the heart of another particular individual. An individual who gives me strength and secures me, so what I imagine is not the individual, but my heart and their presence, I guess. And a kind of emotional tone of love and affection and feeling good and stable, which is a physical sensation in my body. That arises with this kind of image summoning of the presence and an idea of a string. And then directly after this is kind of a reflection on something I has a dream as a career. Again, it’s like a picture of someone, a sad story I read about a refugee in real life, I imagined this guy I feel like I can imagine his presence quite well, imagined his hands in the soil. And I’m there as kind of like a facilitator, working with this guy or with a group maybe. But in my daydream, it’s just his hands in the soil, and I’m there as a kind of presence, I’m aware of myself in a third person perspective, as an older presence, different from who I am now but still the same person. And although the only image I have is the hands in the soil I’m also aware of my role there. So I have the three elements simultaneously, I have an image of the hand in the soil with a kind of backstory knowing already who the hand belonged to, I have an awareness of my own presence from a third person perspective, and then I have a kind of wider context story which is I guess, kind of vaguely links to this energetic awareness of myself but not entirely one with it, it’s kind of a wider awareness, a more intellectual awareness of who the hands belong to and what am I doing there as a job. And how do I arrive there? So yeah, it’s quite simple, the whole image/ images feeling tone arises in five seconds, ten seconds, and gives me kind of a bodily sensation of comfort.</t>
  </si>
  <si>
    <t xml:space="preserve"> about a conversation I had with my partner last night where I’d,  I was kind of defending the idea of this particular path of study which would be occupational therapy. I can’t remember the specifically but I got the feeling that I’d been arguing with my partner, defending this idea, and then what I actually remember from the dream, a kind of slightly older friend  I was like arguing with her, I was having quite a fairly aggressive, argument with her defending this idea of doing this line of study. And then in the end, I shoved her, and then over the top of the scene it was almost like I was part of an integrated scene and then all of a sudden, my actual perspective zoomed out and I could see the both of us and the newspaper headline fell over the top and I can’t remember what the headline said but It was kind of like, a funny effect in a movie or something, something dramatic happened and the newspaper headline falls over the top like BAM with some relevance, </t>
  </si>
  <si>
    <t xml:space="preserve"> I was in a sort of funny environment, it was kind of like a big park, big outdoor park, and some circus tents. Kind of like circus tents but they were also kind of like fumigation tents or something, they had this kind of weird vibe.  And I was there with a big group of people, and there was some kind of conversation in one of these tents, but it was like a big patch of land, and I think there was lots of these separate spaces and I couldn’t see them, just the one I was in sort of vibe. And it was sort of open air but had a sort of perimeter around it. And it was summer, a group of other people maybe like 20 other people, and there were a few people had a familiar faces, I can’t remember recognizing anybody. There was one man there  I had some sort of connection with him as if we were close, he was a Chinese guy. My age,  I knew him. And there’s a lot of discussion going on and in the dream, there was some sort of, someone was telling a story about some kind of drug they were using in schools these days. Like kind of sedative that they started using in schools. And in the dream I think some guy that I knew was telling me in one school they’d used it in someone, a little girl got raped by one of her classmates. But then no one realized, the teacher didn’t check on them properly because the teacher was on a sedative and all the kids were on the sedative and so it didn’t even really occur to the teacher, they’re having nap time and they were all on their separate little places. And the kid that the girl was raped and they like see this happening but as the story was being told I was with this group and someone was kind of remembering maybe telling the story and as the story was being told, I was sort of getting like an almost movie, like I saw a scene of the teacher with the kids and then I saw a scene of the kids and naptime and their separate little spaces and the teacher wandering around a little bit but not looking very closely.  but then once the scene came back to being the present thing where I was then I was there and I was present. And then this big group we were in disbanded, and it was just me and this Chinese guy and I think this was more about the time when he was telling the story towards the end, although I can remember some sexual element to the dream. I can’t remember what went on, but I do remember feeling some sort of sexual feeling, sexual stimulation, for some sort of event that happened in the first part of the dream which I can’t remember now. And then afterwards after the group disbanded, the guy was telling me the story. </t>
  </si>
  <si>
    <t xml:space="preserve"> and I started thinking about a friend of mine. And his nationality. He’s someone of a mixed race and I was reflecting on this and how people looking at him wouldn’t really be able to tell what his heritage was. And as I was thinking about this, I was kind of imagining him in his mind’s eye as if he was standing in front of me quite clearly.  But at the same time I kind of had this other conversation going in my head with myself, this image, these words, and then I realized that It would probably be a good thing to send, to report, and that I started to think of saying this report and the image of my friend disappeared and what I was replaced with was this inner monologue, which might have been something along the lines of these words that I am saying now.</t>
  </si>
  <si>
    <t xml:space="preserve"> and then I started to think about what I was going to have for lunch. And I was kind of thinking about cooking some shellfish, making a seafood chowder type of thing, some coconut milk. And I was imagining in my mind’s eye, like I was looking into a big pot of coconut milky shellfish, but I was disembodied, I didn’t exist I just saw the kind of pot and I was kind of imagining what was going into the pot and then I sort of started imagining what I had yesterday for lunch as a sort of comparison </t>
  </si>
  <si>
    <t xml:space="preserve"> I was imagining my life in a future in a way that I was imagining all the things I had to do.  I was kind of imagining the tasks that I needed to do. Seeing myself as if from the outside doing these tasks, I can’t really remember what these tasks were,  but it was around this theme of maybe like maybe I need to educate myself some more and maybe I need to talk to this person or do that thing. </t>
  </si>
  <si>
    <t xml:space="preserve"> But my thoughts, I started at first I was thinking in kind of a logical way, wouldn’t call it a daydream, and then gradually my thoughts began to undo, and instead of having logical thoughts I began to have sequences of images totally unconnected and have an image of I remember some grapes, some other food, and then images of people and little glimpses of situations but all really disconnected. And I can remember some of these little images, some faces, I remember the grapes, and I remember having the feeling that there was some kind of content of thought around these images. </t>
  </si>
  <si>
    <t xml:space="preserve"> I think I was maybe in a big department store. Or some big community commercial space, maybe a mall. And I was talking with some little kids, it was like 4 or 5 little kids plus myself. I didn’t know the kids though, they were all maybe between the ages of 4 and 7 years old, I was talking with a little girl who was probably about 3 or 4. Maybe a little bit older. And she like dark straight hair and little glasses and super precocious. She didn’t remind me of anyone I knew, she was an unfamiliar little girl but with a very distinct personality, a distinct way of talking and everything. And, beside us there was a little whale, like a wishing well. Made of tires and the idea was that you put a wish in the wishing well sort of explaining how when you put a wish in the wishing well, you then take a photo of your wish and share it on Instagram and I was talking to her and I was kind of quite surprised and I was like reflecting with kind of a sense of humour to myself in my heart about how these little kids were different and how they were super used to sharing things, I was amazed at how natural it was. She had a little friend beside her, a little blonde friend who was agreeing with her, and her little blonde friend had a bucket of jellybeans.</t>
  </si>
  <si>
    <t xml:space="preserve"> I was a man, or I don’t think I was a man, I was kind of nothing. I was disembodied, but the dream followed a man as if I was looking over his shoulder almost, I was almost him but not quite. And it was a big department store, white department store full of these different departments, I’m not sure if it was a department store where people lived or if it was an office space, it was kind of like a mix of all of them. And, it was almost like a spy headquarters because there was all these funny little secret rooms. Hidden little spaces you can get into in tricky ways. And I just remember that this character, this me not me, the central character, wanted to acquire a bunch of stuff in this department store, wasn’t really clear if he was allowed to or not, because he was kind of picking up the things that he wanted and then he would kind of hide them to come back later and i can’t really remember very clearly the first part of the dream, it was quite long but the first part is quite faded. Btu I remember the second part he was going around and trying to find the bits that he had hidden, the bits and bobs. I can’t remember what things it was that he had hidden, but I do remember that he had all these little funny little sliding doors and he would slide back a door and slide out a draw and there would be the stuff that he’d hidden that he’d either wanted to just take or buy, it wasn’t very clear, and he’d take the stuff.  he opened up one of these secret rooms and he found himself in the secret room almost by accident, and he was kind of looking around and there was beautiful women of all ages, some had curly hair, some of all different ethnicities, some were like Asian some were South American, some were white, some were old women, some were younger women, kind of a younger women but all a bit cheeky or super, they looked like they had money and all wearing white. They were all sitting around in their separate chairs and they had skirts on and there was a therapist in the middle, kind of an Ester Parelle character,  And they were watching a screen and they all looked really shocked that this guy had come in and he was kind of looking around like realized that they’d had some sort of masturbation women, sexuality workshop with this like cheeky therapist. Kind of like fancy, white space, that was kind of a bit sterile but also classy and they’re all looking at some pornography that had been paused on the screen and he was really shocked and embarrassed and they were all kind of shocked and embarrassed and one of the types of different extents were some were looking really angry, and some were looking embarrassed and some were looking calm. One started to cry a little bit, and it kind of the therapist leader was standing in the middle looking very incensed or angry maybe, or outraged, at this man appearing in the midst. And this man who I was also was not, was looking over his shoulder kind of living his life almost.</t>
  </si>
  <si>
    <t xml:space="preserve"> I was thinking about a situation, a worrying situation I have with a student of mine.  And I need to have a conversation with particular student about professional boundaries, about expectations, and I was in my head imagining what I would say to this student. So, I was kind of having a one-way conversation, a monologue, with him. And, I wouldn’t say that I could see him super clearly, but I was aware of his kind of presence when I was talking,  And I was aware of everything I was doing but my attention was consistently focused in this monologue I was having with him. My tone of voice, I could hear my own voice, my stern tone of voice as I was talking to him. </t>
  </si>
  <si>
    <t xml:space="preserve"> a photo that I saw on Facebook of a girl that I know, not very well, and I was just, my whole mind vision was taken up with this photo. I was looking at myself in the mirror, but I wasn’t really there, I was looking at this photo. And then in the photo the girl had a hat, a bright coloured hat, and I was kind of thinking judgmental thoughts about the hat, or having judgmental feelings about the hat, not really thinking anything in particular and words. </t>
  </si>
  <si>
    <t xml:space="preserve"> I was in line at university, in line behind some other people, waiting for my turn to go in to talk and interview with a supervisor, central supervisor about a potential master’s project. I didn’t know in the dream, I didn’t know at this organization, whether I was going in to talk to the supervisor about my real project, no, about as a… I didn’t know whether I was going in for a definite interview, an entrance interview, or whether I was going in to prepare myself for an interview, but I knew that this was really important. On the door, there was a sign saying that for the people who are coming in to please be prepared on their own terms, not to rely on the enthusiasm of their housemates, not to rely on enthusiasm of others, and I felt like this sign was talking directly to me, had been printed out especially for me, by the woman who was inside and was about to do the interviews. Even though there were other people in the line, and before that moment in the dream, there had been another moment where I had been in a room with a big group of people, friends, housemates, colleagues, this kind of thing. And they had been talking online with a university supervisor, the same woman, and they had all been talking about the project that I was going to do that I had told them about, and they were all super enthusiastic and told this woman about it. This woman had wanted to see me. Whilst all my peers were enthusiastic, I had a feeling when I talked to this woman which was by chance that she sort of saw through me and saw that I wasn’t very organized. Back to the present moment, I was standing in line, I was aware that when I went in, I would have to talk about my intended project and then I would also have to talk about my honors project, my previous honors project,  And I was trying to remember in the dream the details of this project in order that I can present it and perhaps explain why I got this grade, and in my dream, I was coming up with the excuse of the fact that I got this bad grade, this just passing grade because I hadn’t finished the project. Which is true, but I think I was trying to like exaggerate a little bit that anyone who didn’t finish would just get a 50% passing grade or something like this, so there was a little bit of trying to think up an excuse. But what I was really trying to do was remember what the bloody project had been about, I was standing in line, what was it about? I knew I wasn’t going to be able to rely on anyone else going in, trying to remember the details of this project. I sort of vaguely remembered it was about particular I was about civic participation, I studied industrial design, about civic participation. I was going to make this thing, or these great plans, and I was trying to remember again, looking for now the future thinking about the future. What I would like, what I imagined my projects was going to be that I wanted to do for my masters project, and it was very imagistic what I was imagining was I was so confused, and I kind of came to consciousness, struggling with these two memories struggling to remember what the bloody thing was about, trying to describe it and trying to think about the future, trying to think what this new project would be about, and what was I trying to do? And I was kind of aware that I was struggling with these two memories </t>
  </si>
  <si>
    <t xml:space="preserve"> one of my colleagues at work and I bought her a bunch of presents and I don’t know why because I don’t think it was her birthday in the dream, and don’t usually buy each other presents but I think I was on holidays and I was online chatting with her, or something, and she mentioned these things and so I decided to get them for her. And so one of the present was a bright pink pair of Birkenstocks sandals, but they were different style to the ones that they actually make. but they were definitely that brand, and they were fuchsia pink. And then another present was a big bowl of beads, some were little tiny seed beads and some were bigger beads and then there was another present and I can’t quite remember what that was. And then, I think when I was on holidays I was staying somewhere at a motel, but it was also a bit like a shop. And then people were coming and asking to use the bathrooms. And then the bathrooms were the male and female were separate, but the males were blue tiles and the females were pink tiles, but the male showers were down one way and then the male toilets were down the other way but you had to go past them to get to the female toilets and showers, which was really confusing because that meant both entrances were blue so no one knew where they had to go. I don’t know where it was, but to get there you had to walk down the little alleyway and then there were some really steep steps down to the lower level where I think there was three shower cubicles and three toilet cubicles and they were really heavily graffitied, all around the walls. But it was done as art, not graffiti. And then, when came back from holidays and I gave her the presents, she was really surprised obviously. And I think I could tell she didn’t really like them, the sandals were probably the wrong size for her, but I gave her all the receipts so that she could exchange them if she wanted to. Then M., my boss, was also there, but he was kind of busy doing his own thing ignoring us. </t>
  </si>
  <si>
    <t xml:space="preserve"> I was with a guy that I was dating,  And we were going on a holiday and we were staying at my parents’ house but it didn’t really look like my parents’ house and we stayed in bed until quite late, then thinking we had lots of time, but then when we got up and got ready we realized it was half past 2 in the afternoon and my mum just finished making lunch for us, but we had to leave really soon afterwards and so It was all a big rush. Then we got a text saying that our flights had been cancelled due to extreme weather. </t>
  </si>
  <si>
    <t xml:space="preserve"> to several months ago when I visited my aunty and her grandchildren who were quite little and it felt as if I was reliving the moment or the moments of the day and I don’t think that I could hear anyone talking but it felt very much like I was there, sort of just watching over the scene as I played with the kids. And I got that same warm fuzzy feeling that I get when I do actually see them and spend time with them and play with them.  it was as I was working and during the flashback, I completely lost focus on what I was doing and all I could see was her living room and all the toys and being there, consumed by them.</t>
  </si>
  <si>
    <t>and I was thinking about cleaning my bathroom and the chores that I have to do when I get home. And yeah for that time I was thinking about that and not really focusing on where I was or what I just done or what I was doing in that moment. And I was just planning my evening ahead.</t>
  </si>
  <si>
    <t xml:space="preserve"> I was at work and I was ironing different types of fabric and lace for the dresses that I was working on and my aunty turned up at work and said she wanted to have a look around, even though she’s never really been that interested in what I do before or contacted me recently. And my boss was a bit surprised, we don’t usually have people just come and look around, we’re appointment only, but he let her in and she kind of wandered around and was looking at all the dresses and then we were sitting in the front room and we showed her some different techniques that we use and she seemed a bit bored, like she didn’t really want to be there and she had other stuff going on to go to but she wanted to fit that in for the day. </t>
  </si>
  <si>
    <t xml:space="preserve"> focused on tomorrow and the up coming weekend and how I’m going to fit everything in and just the plans that I’ve made and some of them are changing. So, I guess I was thinking about the people that I’ll be spending time with and what we’ll be doing together and the logistics of everything happening.  So, tomorrow night I’m going to dinner and a movie with a friend and I was thinking about how I’m going to have to rush home from work and get changed and then go back out again to get there in time to have dinner before the movie. And then Saturday I was meant to be going to the beach quite early but my friend has a work thing now happening in the middle of the day so that’s thrown a spanner in the works a little bit and just trying to figure out how to work around that and then Sunday I’m catching up with my parents and a friend in the afternoon. </t>
  </si>
  <si>
    <t xml:space="preserve"> I was online looking for someone who needed their pets house sat, and I found a girl who had a big golden retriever, and a pet ferret. And the ferret came everywhere with me. Which, it was very cuddly and personable, socialized. And then the golden retriever was just like a normal dog I suppose. And then I don’t remember too much about all where we went. …</t>
  </si>
  <si>
    <t>…  had to do with one of my colleagues. And she was working at my restaurant near the V. river. I think it was a pizza restaurant, and that tied in with the dream about mothers’ day because I think we went there but not with mum. And she was working really long hours, and I didn’t really enjoy it but when I went into the restaurant, all the chairs and tables were pushed up against the walls so it didn’t really look very inviting. It was very run down. …</t>
  </si>
  <si>
    <t>…  before mothers’ day, I think the night before. I was at the supermarket, and I ran into a woman who volunteers at the same organization that I do. And we started chatting and she had young daughters, and she was buying all these things to celebrate mother day and it felt like, isn’t this nice that even though she’s the mum and the kids are the ones who should be doing the nice things for her, she’s buying the stuff to allow them do that. So that they can feel like they’re contributing and they’re helping her to have a nice day. And I just thought that was so nice.</t>
  </si>
  <si>
    <r>
      <t xml:space="preserve"> my great aunt who lives down at </t>
    </r>
    <r>
      <rPr>
        <i/>
        <sz val="12"/>
        <color theme="1"/>
        <rFont val="Times New Roman"/>
        <family val="1"/>
      </rPr>
      <t>CityC</t>
    </r>
    <r>
      <rPr>
        <sz val="12"/>
        <color theme="1"/>
        <rFont val="Times New Roman"/>
        <family val="1"/>
      </rPr>
      <t>. In parts of the dream, it was her, and in other parts of the dream it was my grandma. They quite similar age. My grandma has passed away now so I went to stay with her, and the house that’s totally different to either of their houses, and I stayed in a small bedroom that had a single bed. And when I woke up in the morning, I realized that I’d slept in until about 11 o’clock in the morning, which is very unusual. My room had a little balcony outside, so a door that led out to that and then out into the garden and I went out and I had a look at, she had some really interesting plants growing. And it was quite wild looking, a bit unmaintained, but not too bad. And I just wondered around, and the grassy patch was quite steep, a hill going down, and at the bottom of the hill I could see other houses, and then there was a petrol station with a McDonalds there. And then as I kept exploring the little garden, it kind of turned into a room and in that room, she had stored all of these Christmas cakes and biscuits and gifts, chocolates that she’d been given over the years, which is something my grandma used to do. And they were just all sitting there all wrapped up in plastic and some of them were years and years old, and I thought we must go through these and throw some out because they can’t be good anymore. And then, the dream kind of jumped a bit into my aunty wanted to go for a little walk so I said yeah “l’ll go with you,” and I was just in my casual clothes, little shorts and we were in a taxi, but it was more like an old person’s minibus. And we were driven by a lady, and I went and sat sort of near the back and then the seats were kind of on tiers, so they were like stepped up and so the lady said “Aunty you sit at the front because you can’t walk up all those steps.” And so, we drove along for a while and there were a few other people on the bus and we kept getting caught in traffic. And eventually we stopped at this section with roadworks and there were these big piles of dirt on the road, and oh before that I saw that she was putting on sunscreen and she passed it back and said “do you want some?” and I said “yes please,” because usually I have to cover up when I’m in the sun. And so we did that, and we got out and went for a walk and I have no idea where we were,  We wandered around for a bit, and then I think we thought about stopping for a coffee somewhere, but we didn’t. and then I think we got the same taxi back home,  I think my mum was there at some point too, maybe she was staying in the house with us.</t>
    </r>
  </si>
  <si>
    <t xml:space="preserve"> I was driving along with my dad in a really old car of his and he was getting really sleepy so we decided to pull over at a petrol station to swap drivers and have a break. And so, we pulled into this really old style one that had a beautiful grassy hill down the back, overlooking a little dam. So, we pulled in there and got out and then it sort of changed and we were at a wedding and I think I was with someone else then but I don’t know who. And we were overlooking the ocean and there were people going past on surfboards and boats and the waves were quite big and everything was quite realistic. But I don’t know who the people were. And then I think they were, they had alcohol in big buckets and someone came over and said the bucket was empty so they needed to go and re-fill it </t>
  </si>
  <si>
    <r>
      <t xml:space="preserve"> we had met up earlier in the day and we were both going on uni exchange to </t>
    </r>
    <r>
      <rPr>
        <i/>
        <sz val="12"/>
        <color theme="1"/>
        <rFont val="Times New Roman"/>
        <family val="1"/>
      </rPr>
      <t>CountryD</t>
    </r>
    <r>
      <rPr>
        <sz val="12"/>
        <color theme="1"/>
        <rFont val="Times New Roman"/>
        <family val="1"/>
      </rPr>
      <t xml:space="preserve">, and we were talking about our flights, I think we weren’t that friendly, as in we weren’t super close. And then we realized that we were booked on the same flight for, I think, that evening or the next day or something, fairly soon. And so, we thought oh that’s good, we’ll catch up on the plane. So, then we both went our separate ways and I went home to pack.  And I was at home which was at my parents’ house and my mum wasn’t there, just my dad. And I started getting things out of my cupboard, all my clothes and stuff. And I had my big hiking backpack and I realized that wasn’t going to be big enough, so I got dad to get down a suitcase from the cupboard for me and I started packing and then, I think I had a sleep or if it was nighttime or I just had a nap, I’m not too sure. And then when I woke up, I checked the flight status online to make sure it wasn’t delayed, and it said the flight was already flying over ContinentC. And I panicked, and I looked at the time that it had left and I realized that I had that wrong in my mind. And I’d missed the flight, and so then I was looking at that and getting really upset and then I got a text from my friend, who was on the plane, saying that he had a seat next to him and I should come and sit there, and we could talk and hang out. And then I ran down to the kitchen and my dad was doing the dishes and I told him what had happened and he said “oh you need to ring the airline,” which was virgin, “and see if you can change your flight to a different one.” And I think I just cried a lot, and I was really upset and stressed. </t>
    </r>
  </si>
  <si>
    <t xml:space="preserve"> lots of little snippets so another dream was of a friend of mine who was having a big clean out I think and he was going through colouring pencils and pens and he was going to throw them out and I suggested that he keep them because he has a young nephew who in a couple of years will probably be coming over to visit him and I saw its always good to keep that kind of stuff to entertain him when he does come visit. </t>
  </si>
  <si>
    <t xml:space="preserve">One of them was that I went on a date with a guy, and he was someone I’d never met before so I didn’t recognize him. And I think we must’ve met somewhere, and then drove around for a bit in his car. And then he
offered to drop me home, but I didn’t really want him to know my address, so I ended up giving him a different address I think that was kind of close to home. And then he asked for my full name, but I gave him a different name, and then somehow he ended up at my parents place and got the mail out of the letterbox and he saw a letter that was addressed to me and so he found out my name, but he was okay. And then we were hanging out at my parents place for a little bit and then he left and then just after he left, another guy called M. came, who I think was staying with my parents.  And he said to me, “oh are you looking for a new house mate?” And I said “oh no I’m just dating,” and he just looked at me really strangely and then I went up inside the house again and had a look from the window over the street and I saw that the first guy was in the driveway helping one of our neighbours who I also didn’t recognize, fix his bicycle.  Also, as we were driving around, we came across an accident where a painter’s truck had hit a cyclist. And so, there was lots of traffic and people everywhere and the painter was part of a big group of painting trucks that obviously working at a house just near there and so they all left and started to work and this one guy was just there talking to the police and ambulance and everything. </t>
  </si>
  <si>
    <t xml:space="preserve"> I was thinking about this coming weekend and my plans to go down to the coast to visit a friend who lives there. And we’re going to go to the beach and just hang out and I was just thinking about what time in the morning I’ll leave, whether the traffic will be really busy, what the weather will be like, which beach to go to, how hot it’s going to be, what we’ll get for lunch, all those kinds of logistical things. </t>
  </si>
  <si>
    <t xml:space="preserve"> I was just thinking about tomorrow and my appointment that I have and then catching up with a friend afterwards, and so was just thinking about the logistics of that. And what we’ll talk about,  I was looking along the beach on, here in CountryF, with a friend, and we were discussing one of his friends that is a singer and I asked is “she any good?” And he said, “she’s okay.” And she’s better in movies, but that a lot of the directors and producers don’t like her because she’s very focused on researching and finding all the facts, which for a movie they found annoying. And we just finished dinner and he went to pay, and his card wasn’t accepted. So, I used mine but then I realized that I was trying to use my go card instead of my credit card, in the end we got there and as we walked out onto the beach, we just saw the sun dip down below the horizon for the sunset.  Like that restaurant isn’t actually on H. Island and we were walking along a footpath with all these buildings and they aren’t on H. Island either. And we walked past a group of people who were dressed up as characters for the wizard of oz. I actually, this time, realized that I was dreaming </t>
  </si>
  <si>
    <t xml:space="preserve"> thinking about Christmas and what kind of festivities I would like to plan. And it felt very realistic and I could hear myself speaking to my friends and my family and already planning what I would like to happen. It was very much in the moment. Everybody looked and spoke and acted as normal. And it was just a very quick, probably a near couple of seconds, like a vision almost, </t>
  </si>
  <si>
    <t xml:space="preserve"> I had little flashbacks to the day we just spent at the beach in the surf. And all the laughs we had and then we had a nice lunch. So, it was just sort of memories really </t>
  </si>
  <si>
    <t xml:space="preserve"> I had been self-conscious about how hairy my legs were and that is what triggered my memory of the dream to begin with. And then yeah that kind of went into a recollection, a daydream about the daydream. A meta-daydream.</t>
  </si>
  <si>
    <t>As I was riding my bike earlier, my mind kept drifting off into memories, thinking about the friend rows that I dreamt about and how close we used to be and a few musical festivals we had gone to and holidays we spent together, and yeah, just nostalgically thinking back on past times with her. Which inspired me to send her a message.</t>
  </si>
  <si>
    <t xml:space="preserve"> I was living in some sort of dorm housing. I was staying there with different friends that I don’t think I actually knew. But then I discovered my room was really gross with black rat that was running up and down the room, there was poop on the wall and what looked like maybe rat turd stuck to it. And then there was something like an earthquake, so everyone left the building and went outside. After a while we decided it was safe and went inside and went downstairs because we were hungry and there was a fancy pancake breakfast for older people and wealthy people. I overheard a guy complaining that it cost him like 50 – 60$ now to pull these breakfasts and he won’t be able to continue unless they continue to pay him at his current salary. We start stealing pancakes when no one is looking, once a woman scolded and tried to take back a cookie after I took a couple. I gave her one back but told her I had been feeling unwell. And then finally I just stole a pancake and ran away with it. A cute well-dressed man saw and laughed. But then I was self-conscious because I suddenly realized I was wearing the actual Pyjamas I was wearing, which is like a coffee stained t shirt and a ¼ length grey pants. And then my best friend or great friend from home E. is there, she is amused by the whole thing and like running away with the food. But by that point we couldn’t find any more pancakes. We saw some scrambled eggs coming out which the well-dressed guy and his younger friend were all excited about and we wanted to try to sneak some but we knew we weren’t dressed well enough, and we thought we would get caught if we were standing there eating scrambled eggs, because those were harder to pick up and just run away with. </t>
  </si>
  <si>
    <t xml:space="preserve"> I was on a trip to Hawaii with my three cousins, my aunt, and mother. My cousins had their photos snapped at traffic lights, I think they were speeding or something. So, we had to spend out first morning at the courthouse, so they could see the judge. And then afterwards, we came back to our place which was like a beachfront, and we went swimming in this nice beach, and then went inside so that I could have lunch, which was like hoisin tacos, then some leftover noodles, like Asian noodles from the night before, while we researched what beach to go to for the rest of the day.
 my mind would immediately wander either to something else I had to do or thinking about how it was strange wearing my mask indoors at a restaurant and various things, oh my hands were dry, and then would have to repeat the question, “would you like tomato sauce with the chips?” and had to be two or three times. Luckily the tables kind of laughed about the waitress repeating it, but yeah I guess that was kind of my primary daydream mind wandering for today.</t>
  </si>
  <si>
    <t xml:space="preserve"> I basically recollected what I had thought of the night before, when I saw or thought about my work pants and how my dream I weirdly had people compliment them where I still thought or still think that they suck.</t>
  </si>
  <si>
    <t xml:space="preserve"> my thoughts were kind of drifting between thinking about smoothies and then reflecting on my dream, and just wondering why I keep dreaming about John Lithgow, this old actor. Just kept popping into my head, how strange it is just for him to keep appearing in my dreams.</t>
  </si>
  <si>
    <t xml:space="preserve"> I was being hunted by the police for murder, and I had escaped my nannas house by using an 8 mile underground tunnel. This was the second time I had escaped from a house using 8 mile long tunnel.  I came to be sleeping in my grandfathers bed at my nannas house.  And towards the end I also was being chased by someone, and then while I was asleep in the bed I was afraid I’d be caught by the police and I knew they were in the house downstairs and at some point I think an officer came into the bedroom and leans into the bed and I realize I’m holding a knife for protection but I also realized that I don’t know how to use it and I knew that I would hesitate, and so he would be able to stop me. And I also didn’t think it was sharp enough, so I was very scared while lying in bed, and I remembered the tunnel underneath the house, so I wanted to get downstairs to the tunnel, but the cops, he’d been standing guard and then in the morning he’d send away all the police aside from himself, and I guess he described himself as a handsome Latino man in the third person. And I was really scared of the cop, and I was in bed breathing and I was worried that he’d wake up after he had gotten into the bed and again I would hesitate to use my knife. And then I felt someone brushing against it, and I felt my arm rubbing on someone and I thought it was the police officer, and I was really filled with fear. </t>
  </si>
  <si>
    <t xml:space="preserve"> I was hanging out in the room with a kid I had a crush on in high school. And I remember being in the room for a while, but I don’t really remember him actually being there. And then I thought to myself that this could be the opportunity where we finally hook up and I realized then that my legs were really hairy and since it would be like decades since our flirtations, I decided after decades of buildup I had to make sure earthing was perfect. So, I ran upstairs, I was now in my grandmother’s house, shaved my legs, and then decided that I should wash my hair and make sure everything is perfect. Which took a while, and I remember using a product of my uncle’s wife or my aunt, and I think she came upstairs, and I went into the room that I used to stay in at my grandparents to get dressed and use lotion that I have here in CountryC. And put on a bra that I got from J.’s room weirdly downstairs. And got dressed. And then went back downstairs, he still wasn’t in the room, I was wondering if he was with another girl and then I was just thinking whether I should change bras instead of wearing the one that I had borrowed from him. And I think I was changing them and was worried that he would come back and as I was weirdly standing in his room, putting on bras, naked, </t>
  </si>
  <si>
    <t xml:space="preserve"> thinking of earlier in the day, how a package had arrived for him. I had ordered a birthday gift where he picked out clothes from his favourite football team and it arrived today, and he had kind of this childish, excitement on his face that made me feel good. And I was kind of, I started remembering the look on his face, and how cute I found it, and I guess reassuring how much he enjoyed his gift. </t>
  </si>
  <si>
    <t xml:space="preserve">There was some sort of retreat that I was getting a ride to with a friend, like an old friend, who resembled the guy (I don’t know who he
was), he looked like the shorter guy from 21 Jump Street, I think his name is Jonah Hill. But we got there and was like a lot of drinking and we were hanging out in a room like in a planetarium with some people, but I remember wanting to be wherever the other people are from, from the retreat, are hanging out, because this guy I had a big crush on in high school, J., was there. And yeah we drank a lot and went to sleep, found out the next morning that J. had hooked up with a girl from college that he never actually knew, that had been staying in his room and I woke up late and was trying to decide whether I should shave my legs but I heard there wasn’t a lot of time, so I went downstairs and tried to find the breakfast buffet which most people had already eaten. There I found out everyone was preparing to leave on the earlier side, and I was looking at activities for the day which included kayaking and I was hoping J. would stay and possibly give me a ride. Around that time, I saw a girl from a study abroad and my friend K. from gymnastics who had flown there and I noticed that the company that she worked for that paid for her flight also had connections to Kim Jon Un, which she was kind of hazy about. And then I overheard J. speaking to the guy that had given me a ride, but he was no longer Jonah Hill, he was the guy Massuka (who’s like the other friends expert on the show Dexter), and I heard him saying “no man, she’s my date, I brought her here,” and last thing I remember is still wanting to see if there was a way to kayak or, hang out with J. </t>
  </si>
  <si>
    <t>I was trying to travel to CityF or somewhere in ContinentF with my boyfriend and we were trying to find a cool city to go and researching it and trying to find a conference. But then we remembered we can’t go, and we were really disappointed. But then suddenly we were at a ballet, or some place that seemed somehow vaguely familiar. And then somebody showed up, like Trinity from Dexter, oh, John Lithgow was there. As well as my boyfriend, and then we were in a house that was kind of like a palace with a group of people. Some of them from a travel abroad,  and some random people from grad school. My boyfriend was there, but we were only acquaintances, and he seemed more into his male friend that he had from school. And then we had a small accident while we were leaving and somebody was drunk. I’m not sure if it was the driver of our car or he driver of the other car, but we left notes on the two cars dented by trucks. But we realized they had reported our number to the police and we’d get picked up really quickly. So, we tried to hide contraband and gather all our belongings but it took forever and I was panicking trying to hurry everyone. And then finally we left but I realized I forgot my bag. And then suddenly my friend
B. from was there and she was annoyed at my forgetfulness. And we went back to search for it but we couldn’t find the bag anywhere. And then John Lithgow was there and he mentions how forgetful I was about that. 
 And then my boyfriend and I had moved to a new apartment, and we were sitting in a nice, really nice room with a TV, and a past roommate. And the place was vaguely familiar, but I don’t know where, just in my mind it seemed familiar. Then we realized we also had new roommates, we hadn’t met them but the house we had moved to was really spacious and nice with three extra bedrooms and huge kitchen. And we were wandering around trying to decide which room we would sleep in. And then we met our new roommate and realized that they were huge slobs, and apparently, they were huge slobs and refused to stop filling the fridge with all of their water bottles. There was just lines and lines of it all the way up to the door, the refrigerator. And I asked, I guess I believed that having too many water bottles caused mould and fruit flies and was really unhealthy. So, I asked the new roommate if they would just put a few water bottles in so it wouldn’t be up the edge and they refused and then my doctor was suddenly there and trying to mediate the situation and I guess was judging them for their lack of cooperation. And I put three bowls on vinegar out to ward off the fruit flies. And I explained to them why I was so unhealthy and why I was picking a fight about it. And my boyfriend was really quiet and just left the room at some point, and finally I said, “I’ll just do it myself,” and started taking their water bottles out of the fridge an d I promised that I would clean the fridge every night except I accidentally take out two rows of clogs from every letter,  then I overheard one of them saying that they were Portuguese. And I expressed surprise and they said why are you surprised, and I said I thought hospitality was prized in your culture, and after that they seemed to feel a bit guilty and started acting much less rude.</t>
  </si>
  <si>
    <t xml:space="preserve"> drifted off into thinking about past times we had together. I guess kind of as like out of body experience, but it was sort of just a short distraction. It did have a line from, I don’t know why, the end of the great Gatsby “So we beat on, boats against the current, borne back ceaselessly into the past.” That quote, something nostalgic happens, </t>
  </si>
  <si>
    <t xml:space="preserve"> that my mother came in and told me on the first day of school that I was going to change high schools for my senior year, form the school I went to called High school to CityF,  I was really upset with my mother and got very angry, but a part of me was actually kind of excited because I missed the friends from middle school and my childhood from StateF.  I started to kind of get more excited about the prospect of returning there,
although I didn’t tell my mother this. And we went down stairs to try to figure out breakfast while we argued about my switching school senior year. And she said, or roommate that she rents a room too, was making croissants, and I went to eat one of hers and felt bad. So, my mum said she would get me breakfast on the way to school. And we did stop for food but she only bought food for herself. But, before we left the house, I had trouble figuring out which shoes and socks I was going to wear. Because my bedroom was also my childhood room from StateF, not the room I had in StateG where I moved and went to SchoolG, and I was trying to find different shoes but it was kind of wet and muddy outside. And I told my mum it was because people in StateF were much more fashionable than StateG and so I had to be careful about what I wore If I wanted to fit in. and finally, I settled on a pair of shoes, I think they were tan converse type ones. I was going to try not get muddy. I noticed that I had rolled my, oh this actually came later, but I had rolled up my pants because it was quite hot out so they were by my knees, but I noticed my lower legs were super hairy like a man’s, and I was self-conscious. So, I rolled them back down after I noticed a boy staring at them. I guess anyways on the way to high school again, I was worried about being late on my first day, I wanted to make time to make sure that I could speak to the guidance counsellor because I had taken honors classes at SchoolG and I was worried that I would be stick with slower students, if I didn’t speak to the counsellor while there. And I was really excited to see my old friends, but mostly one in particular, E. And I tried messaging her that I was coming back but I never received a response.  I thought about other friends and was wondering if I should message them and what it would be like to just run into them one day, ones that I hadn’t spoken to since I actually moved.  And sort of my mum and I were driving around for a long time, we went to the parking lot, I guess I sat outside, I was stressed out and wanted to have a cigarette and I know I had mine cigarettes, Marlboro golds.  But I didn’t want my mum to know I had them, but I noticed she had her own Marlboro lights in the purse which she didn’t want me to know she had. But I had noticed them, and I was kind of upset about that, but not really at the time. And I thought about asking her for one, but I didn’t want to smell like cigarettes on my first day. And overall, even though the dream had stated off with my very upset that I was leaving the high school that I had spent the last three years at, I kind of had all these friends that I was actually very excited to reconnect with these childhood friends. And it was overall kind of a very wistful, nostalgic, and happy dream. I wish that I had received a message back from that friend E., or that I had had a change to actually walk around it on the campus in StateF, although the thought of that had made me kind of anxious in the dream, to have even able to see some of these friends or see E., but I unfortunately had to go to the bathroom </t>
  </si>
  <si>
    <t xml:space="preserve"> Basically, it was another dream from high school again, I guess beforehand I was worried that a teacher had died and then I realized was late for school. And when I got there the teacher was still missing. And then I wrote designing houses, but I think what, maybe that was the class topic, but I do remember that it turns out school was delayed two hours,  And then afterwards the teacher showed up and my mean math teacher from high school was loitering in the corner, but I went for a walk to find a bathroom, but I got lost in a shopping mall type place that had a lot of restaurants around. Including a lot of fried donut shops and places of that sort. And then I realized it was Italian day in the cafeteria and because I saw a lot of people walking around eating breadsticks with red marinara sauce. As I was walking by the cafeteria I saw a girl named C. who was my best friend from gymnastics when I was a child up through high school. And she was talking to her boyfriend and when I walked by, we did make eye contact but didn’t smile or speak at all. Which kind of made me sad as I walked by. And then I realized it wasn’t her boyfriend she was talking to it must’ve been her husband,  I was thinking that she was quite young to have gotten married, around 17. And I was sad that we didn’t speak and had lost touch. And then I walked around the hallway still for a while and I remember again more fried donut places,  there was a rapper or someone on an elevator and for some reason I thought of Kurt Cobain, but it wasn’t Kurt Cobain, it was just a rapper on an elevator, but I don’t remember the rapper’s name.  And then I went back to class and I’d been gone for a long time and I was still pretty hungry and my math teacher,  was still like leaning against the desk in the corner looking judgmentally.  and
I was back at my house except it was my house in CityG from my childhood and my mum was working really late and there was Easter candy everywhere, and I was really hungry, so I stole a chocolate rabbit even though I knew I wasn’t supposed to because the candy was for either Easter or, I don’t know, something else. And right as I took it my mum got home from work, quite late, and it was dark out. And I tried to hide the rabbit or something, </t>
  </si>
  <si>
    <r>
      <t xml:space="preserve"> Memory from last year which occurred not that long after I came to </t>
    </r>
    <r>
      <rPr>
        <i/>
        <sz val="12"/>
        <color theme="1"/>
        <rFont val="Times New Roman"/>
        <family val="1"/>
      </rPr>
      <t>CountryA</t>
    </r>
    <r>
      <rPr>
        <sz val="12"/>
        <color theme="1"/>
        <rFont val="Times New Roman"/>
        <family val="1"/>
      </rPr>
      <t xml:space="preserve">. And I’d been at </t>
    </r>
    <r>
      <rPr>
        <i/>
        <sz val="12"/>
        <color theme="1"/>
        <rFont val="Times New Roman"/>
        <family val="1"/>
      </rPr>
      <t xml:space="preserve">shopA </t>
    </r>
    <r>
      <rPr>
        <sz val="12"/>
        <color theme="1"/>
        <rFont val="Times New Roman"/>
        <family val="1"/>
      </rPr>
      <t xml:space="preserve">with my boyfriend and they had a red cape on sale for five dollars after Halloween, and I decided to buy it and my boyfriend said like “why would you spend five dollars on a red cape, like what are you going to do with it,” and I said “I don’t know, but Halloween costumes are expensive and next year maybe we’ll have more friends and maybe be at a party or something, and I’ll have a cheap easy costume as little red riding hood.” And he kind of thought it was silly. And then I sort of realized I was just standing there and that I had a mask with a filter on and this was my Halloween. </t>
    </r>
  </si>
  <si>
    <t xml:space="preserve"> where just three separate people complimented me on my work pants, which I’ve always found or just thought were ugly. And in the dream I found it surprising, and pleasant. </t>
  </si>
  <si>
    <t xml:space="preserve"> that my co-worker hadn’t cleaned the bathroom and I realized this, so I went to clean it myself, and when I got there I realized I was wearing my cheetah pyjama suit. And realized I had walked into work that way. And so, I ran out the back door and tried calling my boyfriend to meet me at shopB with my work outfit, but he wasn’t answering his phone and I realized I couldn’t find shopB. So, I tried running to a different one but I still couldn’t find it. </t>
  </si>
  <si>
    <t>001_01 D1</t>
  </si>
  <si>
    <t>001_02 MW</t>
  </si>
  <si>
    <t>001_03 D</t>
  </si>
  <si>
    <t>001_04 D</t>
  </si>
  <si>
    <t>001_05 D</t>
  </si>
  <si>
    <t>001_06 D</t>
  </si>
  <si>
    <t>001_07 D</t>
  </si>
  <si>
    <t>001_08 MW</t>
  </si>
  <si>
    <t>001_09 D</t>
  </si>
  <si>
    <t>001_10 D</t>
  </si>
  <si>
    <t>001_12 D</t>
  </si>
  <si>
    <t>001_13 D</t>
  </si>
  <si>
    <t>001_15 D</t>
  </si>
  <si>
    <t>001_16 D</t>
  </si>
  <si>
    <t>001_17 D</t>
  </si>
  <si>
    <t>001_18 MW</t>
  </si>
  <si>
    <t>001_19 D</t>
  </si>
  <si>
    <t>001_20 D</t>
  </si>
  <si>
    <t>002_01 D</t>
  </si>
  <si>
    <t>002_02 D</t>
  </si>
  <si>
    <t>002_021 D</t>
  </si>
  <si>
    <t>002_04 MW</t>
  </si>
  <si>
    <t>002_05 D</t>
  </si>
  <si>
    <t>002_06 D</t>
  </si>
  <si>
    <t>002_07 MW</t>
  </si>
  <si>
    <t>002_08 MW</t>
  </si>
  <si>
    <t>002_09 D</t>
  </si>
  <si>
    <t>002_10 D</t>
  </si>
  <si>
    <t>002_101 D</t>
  </si>
  <si>
    <t>002_11 MW</t>
  </si>
  <si>
    <t>002_12 D</t>
  </si>
  <si>
    <t>002_121 D</t>
  </si>
  <si>
    <t>I ended up playing like football in a school auditorium and I scored one goal and then the opposing team equalized and then I scored another goal, and then finally a team member scored a third goal right before the end of the game .</t>
  </si>
  <si>
    <t>002_122 D</t>
  </si>
  <si>
    <t>but it was really cool 'cause it was about dreams and it was really perfect but uf and then like I tried to like go back to sleep to remember what the dream was and I had some other dreams like I dreamed that] I was like sitting with friends talking about the insanity of the CountryB-CountryA border situation and how like the federal government and the regional government they I just like comparing cock links and it's really ridiculous and …</t>
  </si>
  <si>
    <t>002_13 D</t>
  </si>
  <si>
    <t>002_14 D</t>
  </si>
  <si>
    <t>002_16 MW</t>
  </si>
  <si>
    <t>003_01 D</t>
  </si>
  <si>
    <t>003_02 D</t>
  </si>
  <si>
    <t xml:space="preserve">it was my birthday, or at least it was the birthday party for me, I don’t know which one exactly. I was probably similar to age to what I am now. For some reason I remember just being driven around in a limousine with probably half a dozen, probably women, who were, at least some of them I can remember, girlfriends and or wives or friends of mine. So, the girlfriends and wives were there riding around the limousine. My actual friends were not there, but I wasn’t even interacting with the women anyhow, I was either, I wasn’t even sitting with them, I was just playing with toys. So, we were driving around a limousine, I’m playing with toys , and they’re sort of, you know, drinking champagne, doing what you do when you ride around in a limo. </t>
  </si>
  <si>
    <t>003_03 D</t>
  </si>
  <si>
    <t>003_05 D</t>
  </si>
  <si>
    <t>003_06 D</t>
  </si>
  <si>
    <t>003_07 D</t>
  </si>
  <si>
    <t>003_08 D</t>
  </si>
  <si>
    <t>003_09 MW</t>
  </si>
  <si>
    <t>003_10 MW</t>
  </si>
  <si>
    <t>003_13 D</t>
  </si>
  <si>
    <t>003_14 D</t>
  </si>
  <si>
    <t>003_16 MW</t>
  </si>
  <si>
    <t>003_17 D</t>
  </si>
  <si>
    <t>003_18 D</t>
  </si>
  <si>
    <t>003_19 D</t>
  </si>
  <si>
    <t>I was in somewhere, living in a big house, surrounded by snow. I remember at one point I found a small kitten in the snow, like a stray one. There was a lot of empty rooms in the house that had friend of mine I used to live with, his TV for some reason I one of the rooms. I left my TV outside and it got frozen from all the snow. I remember my mum was there for some reason, it was definitely for some reason obviously in the northern hemisphere, obviously by the big snowy house. A lot of pine trees around it. May or may not have been Christmas, that I’m not sure about.  Why I was living there, I don’t know. Who else was there, I’m not really sure. Again, kind of get the sense that I was in a job where I was working with children, maybe we looked after the children somewhere in this big, frozen, cold house, maybe.  just living in a big house surrounded by snow. Stray kitten, watching TV in this big, cold, empty room in the house.</t>
  </si>
  <si>
    <t>003_21 D</t>
  </si>
  <si>
    <t>003_22 D</t>
  </si>
  <si>
    <t>004_01 D</t>
  </si>
  <si>
    <t xml:space="preserve"> I was getting ready to go and workout, and my normal workout clothes,  But I had this necklace of colourful beads and it was kind of African/ Rastafari colours and I kept fidgeting with these beads like doubling and making them into a single, kind of a long strand, I kept putting them so they were like double or triple around my neck and then I would kind found them. And I was talking to my partner and we were in our house but our house was like much bigger than normal, like much more vast. I remember I was kind of in the hallway looking in the mirror but like everything was like weirdly stretched and elongated and almost like fractal, so it was like our house was enlarged but it wasn’t like it was, it was like stretched din proportion. There was certain parts of it that seemed to be like double or triple or more and other parts of it that were kind of normal size, and the parts that were double to triple or more weren’t just stretched in proportion but would be like replicated in a row. Like the hallway was like 3 hallways altogether, not like one large hallways but three hallways put together and then you come into the kitchen and the kitchen would be normal. And this happened, I remember bit I don’t remember specifically, but I remember the whole house was like this and kind of like in a shifting way so in certain times, some part of the house were like double or triple their size and kind of in a replication and other parts would be normal and the parts would change. I can’t remember what is the story that was happening within this dream, it was kind of strange landscape of my house. I was chatting with my partner, </t>
  </si>
  <si>
    <t>004_02 MW</t>
  </si>
  <si>
    <t>004_03 D</t>
  </si>
  <si>
    <t>004_04 D</t>
  </si>
  <si>
    <t>004_05 MW</t>
  </si>
  <si>
    <t xml:space="preserve"> I remembered a time when I was in a similar situation coming back from exercise and I’d walked past the same house and I’d seem some friends putting some stuff in a car and I ran back to talk to them. And I kind of was vaguely aware that I was running in kind of a funny way, maybe that I’d looked a bit funny, and then when I looked at the face of my partner I kind of perceived that he was a little bit embarrassed like he looked a little bit pained somehow. And I realized I must have looked quite funny, the way I was running, I felt like maybe I was running like a little bit of a dog or something.  And I became, instead of seeing it from a totally first person perspective, first person body perspective, my perspective and my memory was a little more ample and I kind of included my partners presumed, what I would presume to be his perspective of me, what I would presume to be the perspective of these two women who are my friends, not as images but kind of as emotional tone that I guess I kind of attributed to them all as I remembering the scene. </t>
  </si>
  <si>
    <t>004_06 MW</t>
  </si>
  <si>
    <t>004_07 D</t>
  </si>
  <si>
    <t>004_09 D</t>
  </si>
  <si>
    <t>004_10 MW</t>
  </si>
  <si>
    <t>004_11 D</t>
  </si>
  <si>
    <t xml:space="preserve"> I was cooking or something, and I was in this house, it was an unfamiliar house, but it was kind of a familiar setting. A street style of things was the same. I lived in a street where there is a good bit of, suburban street, a lot of street life, like a lot of the street is outward facing, it kind of had a similar vibe and I was living in this house with my mum and the mum of my partner, my partner and I think the mum of my partner had just decided to leave. And my mum had over, during the dream, I don’t really like precisely to remember but my mum had like decided where she was going to live.  she was staying with us, but she decided to move back to our country of origin.  she was living with me in my new country and she decided to move back to her country or origin. And, she told me this specific town where she is going to live, she said “I’m going to live at Lake K.” she said, in CountryA. This is a good choice, and I was happy for her in the dream,  I was happy about it like great, cool. But there was also kind of a feeling of the fact that she was leaving us would leave our house a little empty, kind of a feeling of loss, and then just like she was gone, and we had a big empty room which was actually a garage. Like a rammed earth garage, we were trying to decide what to do with this garage. Like walked into a garage, kind of really low ceiling, brightly lit. I think it had an open roof, and this like closed walls. It was kind of a funny different design from real life. And I think I was thinking about leaving too, I think I was thinking of leaving too, and my partner was all busy doing his thing, deciding what he was going to put in his garage. I think at the end of the dream I ended up cooking lunch and we ate it in the garage.</t>
  </si>
  <si>
    <t>004_12 D</t>
  </si>
  <si>
    <t>004_13 MW</t>
  </si>
  <si>
    <t>004_14 D</t>
  </si>
  <si>
    <t>004_16 D</t>
  </si>
  <si>
    <t>004_17 MW</t>
  </si>
  <si>
    <t>004_18 MW</t>
  </si>
  <si>
    <t>And I was thinking about a post I saw from kind of someone I know, kind of a popular person on the Instagram, talking about her mental health and I remember him talking about his mental health not being really good. And, there was kind of a sort of like layering of information, like
I could kind of see a little the Facebook post of this girl, I mean I could see her image and then I could kind of almost hear in a voiceover the message of my friend that he sent me like a message like a private message talking about it his mental health. And then I was thinking to myself in like a personal voice that was not mixed in with this general kind of panorama that I was seeing about these two characters, I was thinking to myself in a personal voice, “ah I think my mental health has been surprisingly really good this year, if not better than ever,” and I was kind of just reflecting on this. So, like, in myself and my body, a little separate with this kind of panorama of these two characters and their presence and words floating in my mind’s eye but separate from me.</t>
  </si>
  <si>
    <t>004_20 MW</t>
  </si>
  <si>
    <t>004_21 D</t>
  </si>
  <si>
    <t>004_22 D</t>
  </si>
  <si>
    <t xml:space="preserve"> I was at like a boarding school, like a cross between boarding school and like a tech company. But it also kind of had a bit of a Harry Potter vibe like a boarding school where there's a lot of like adventure, a lot of like plotting between the students. But everyone was older people weren't young, everyone was, I guess the age I am now, which is, I'm 26, people were all in their early adulthood. Some people i knew, I can't remember who specifically, there's a lot of people I didn't know. I remember somehow I kept doing things to get points taken off. It wasn't points taken off the collective for things. The points were always taken off the individual makers making mistakes, any points taken off. Everybody was into like app development and all those kind of like super futuristic apps that were kind of like quite a meshed with real life. And there's all these weird kind of details. Like I remember I tried to leave the library and then I was not allowed to leave the library for some reason, I did something wrong. And then they sent me back to the bathroom and I was in the boys bathroom and I had like a really short time to do something before something terrible, something terrible is gonna happen.  I was like fumbling around in the bathroom, I had some kind of like task I needed to do. And then I was like scrambling up to escape from the bathroom that the, there was this kind of like there's a weird like stadium like the bathroom is down, and there's all these like chairs around and a semi-circle stadium facing all of the toilet stalls. And I'd like get up the climb up these chairs. But they're all like really hard to climb up. There's no space to actually walk up, it was almost like it's designed to be really difficult. Like specifically for me. I scrambled up and eventually, I got up to the top and I met a couple of other people that I knew a couple of other young people that I knew. And they kind of helped me out.  but I was trying to do something. I was coming into like a space and I kind of like stadium like space, but this one was made of all of these little cubicles, and people were in their own cubicle and it was outdoor. Outdoor indoor space, is really vague.  I like entered into this space into this little like stadium through a gate. And I was doing something in a conversation with someone or something and then like almost immediately a woman came out of one of the cubicles, a woman that I know,  And she was angry at me for making too much noise or something.  she was again in this role being like frustrated at me and I was feeling in the dream like it was unjustified. I was trying to explain myself, they usually blame me for something and I kind of like pointed out of fact, saying “I wasn't actually wasn't actually here in the moment that you that you're talking about” or she accused me of doing something, I said “I didn’t actually do this,” And she kind of like, thought about it and decided it was okay and went off. And then the next thing I did was some stupid thing that was a mistake. And I like messed something up again in someone else's little cubicle and I was a bit upset with myself and I was walking down the stairs, past these little cubicles. And someone called me inside said “hey, this girl,” giving a specific name,  “So and So wants to see you.” As I walked, I came into this little cubicle. And its like, there's all these little, there's like two computers, kind of a nerdy guy nerdy, cool kind of guy sitting there. Super excited and at first I didn't see this girl was looking around there is like a double bed, some kind of have all of these like cushions and stuff and then these two computers desktop screen set up with this nerdy guy there. But then they kind of figured out this girl was like lying on the bed sort of like half immobile or just kind of watching me out of the corner, I saw very blank. They're not really moving. And she was part of who was getting excited because they were working on some kind of like futuristic app, some sort of futuristic program. There was something I connected with her mind, and he wanted to connect me to, she'd like specifically asked that I was connected to, so I sort of like kind of almost agreed straightaway although the whole thing was a little bit like whoa, full on and scary and intimidating but I was like yeah, okay, let's do it. And so I laid down the bed and he kind of like, plugged me in and he asked if I wanted to be blindfolded and he said it's better at first to be blindfolded in the app so okay, cool, that's probably better. So he didn't put a physical blindfold on me but he did something so that when he could plug me in at first, I could see all of these figures, figures almost like a dummy from a shop, these like generic featureless white figures. And then I couldn't see anything, but I could like feel this is happening in the dream, this sensory experience in the dream. I could feel like energetically this other girl, and I can also feel energetically these other presences. Although it was quite like abstract and ambiguous what I was feeling but kind of like could feel that I could like control my own energy and like expand and contract and move around a bit have a bit of mobility. Yeah, and then something kind of like a bit scary happens and then I could feel that I was in this space that's kind of energetic space and that was not completely safe. There's other things going on and that I had to like stay super late but I kind of felt comforted to be with this other girl. First, she's cool and like strong and I kind of felt secure to be by her side and I felt she like called me there specifically to be with her. So, it's kind of like okay, I can handle this.  dreaming in an energetic space, not like a century space. So, I'm not like seeing, I was in the first part of the dream there was sensory experience like seeing, hearing, kind of moving around an embodied way. And then later in the dream, when I got to this part, there was just the sensory experience. </t>
  </si>
  <si>
    <t>004_23 MW</t>
  </si>
  <si>
    <t>004_24 D</t>
  </si>
  <si>
    <t>004_27 MW</t>
  </si>
  <si>
    <t>004_28 MW</t>
  </si>
  <si>
    <t>004_29 D</t>
  </si>
  <si>
    <t>005_02 D</t>
  </si>
  <si>
    <t>005_03 D</t>
  </si>
  <si>
    <t>005_04 MW</t>
  </si>
  <si>
    <t>005_05 MW</t>
  </si>
  <si>
    <t>005_06 D</t>
  </si>
  <si>
    <t>005_08 D</t>
  </si>
  <si>
    <t xml:space="preserve"> I was at high school I think, and we were doing exams, but it was very different to our normal exams, it was more of a 3D kind of thing. I can’t really remember what it was, but it seemed like it was kind of like a giant scrapbook but it was made from fabric or like, different materials, and we worked in pairs, and we had 90 minutes to complete this exam. And then there were different questions about things like sustainable farming and I can’t remember what else, but at the end of the 90 minutes they came around and collected them and they got posted away. But, because I was still working on mine we missed the cut off, and so we were only a few minutes late but we got told that we had to post it ourselves rather than have them post it for us. And then, a girl from my high school called E., who I recognized, came in and she was a bit of a goodie too shoes and she had hers all packaged up from the post office and she said “you got to and do it yourself with registered post,” and all this, and we said “oh do you have to pay,” and she said “oh yeah, of course you do,” and so we were quite upset because if we had finished it in time we would’ve just posted it with everyone else’s. </t>
  </si>
  <si>
    <t>005_09 MW</t>
  </si>
  <si>
    <t>005_10 D</t>
  </si>
  <si>
    <t>005_101 D</t>
  </si>
  <si>
    <t>005_103 D</t>
  </si>
  <si>
    <t xml:space="preserve">I am in a castle and there's some kind of teaching going on. I have to choose courses I have to choose content. There is a lot of shuffling around with books and content. </t>
  </si>
  <si>
    <t xml:space="preserve">I'm in a little boat and it is all made out of Lego, the toy Lego and I'm looking around me trying to figure out why everything around me seems to be made of Lego, how come everything has been turned into Lego. </t>
  </si>
  <si>
    <t xml:space="preserve">I am in a castle again this time taking care of plants. I seem to be the plant instructor and I'm doling out plans to people helping them get started trying to avoid having people put plants on top of my car like don't scratch the paint, don’t put stuff on top of the car and it’s a horrendous amount of effort going into taking care of these plants. </t>
  </si>
  <si>
    <t xml:space="preserve">I'm in the presence of a large group of people and there's thunderous applause somebody is very pleased with something that's just happened as loud and they like what I'm doing but I can't remember what I was doing but there is a lot of applause and it came on not so much as verbal as kind of like a metal explosion. It just occurred. </t>
  </si>
  <si>
    <t xml:space="preserve">I'm driving in a fast car somewhere. I'm showing a group of students how to look at photographs and categorise them as to what the different qualities are of the photographs. </t>
  </si>
  <si>
    <t xml:space="preserve">I am looking out at the place where the bird feeders and squirrel feeders are, and I drift off into a mental space]2 thinking of seeing many things at once and I found myself with my eyes thrown out of focus not looking at anything while trying to take in all of the surroundings and all of the movement of the birds and the squirrels more or less as a single picture like can I see it all many things moving at once and catalogue it and mentally understand it without focusing on the thing in my focus. </t>
  </si>
  <si>
    <t xml:space="preserve">I am in a kind of castle. There are a lot of words around. I'm sort of the word master or the head of the castle where the words are. Someone is trying to usurp my position or challenge my position and there's a lot of words going back and forth about the role that we have with the words. Words in a castle.  </t>
  </si>
  <si>
    <t xml:space="preserve">I am in a castle. There is a magical kind of guy there he's teaching me how to do some magical things. He has a kind of three bowl monkey game going on and he's showing me how that works and there are other things that he's teaching me. </t>
  </si>
  <si>
    <t xml:space="preserve">I am in college, in school I am signed up for a bunch of classes every class I go to is full there is a whole conversation going on about how their oversubscribed too many people have signed up for the classes. </t>
  </si>
  <si>
    <t xml:space="preserve">I am in a castle with a lot of other people and there's a lot of food being moved around. Platters of food, a large dining hall and people acting as people do and there is a big pile of food on platters they’re being kinda crazy and grabbing stuff. </t>
  </si>
  <si>
    <t>I found the residence of Yverdon so agreeable that I resolved to yield to the solicitations of M. Roguin and his family, who, were desirous of keeping me there. M. de Moiry de Gingins, bailiff of that city, encouraged me by his goodness to remain within his jurisdiction. The colonel pressed me so much to accept for my habitation a little pavilion he had in his house between the court and the garden, that I complied with his request, and he immediately furnished it with everything necessary for my little household establishment.</t>
  </si>
  <si>
    <t>I and my cozen Anthony Joyce, who come on purpose to dinner with me, and he and I to discourse of our proposition of marriage between Pall and Harman, and upon discourse he and I to Harman's house and took him to a taverne hard by, and we to discourse of our business, and I offered L500, and he declares most ingenuously that his trade is not to be trusted on, that he however needs no money, but would have her money bestowed on her, which I like well, he saying that he would adventure 2 or L300 with her.</t>
  </si>
  <si>
    <t>how everything is yielded to presently, even by Sir W. Coventry, that is propounded by the Duke, as now to have Troutbecke, his old surgeon, and intended to go Surgeon-General of the fleete, to go Physician-General of the fleete, of which there never was any precedent in the world, and he for that to have L20 per month. Thence with Lord Bruncker to Sir Robert Long, whom we found in his closett, and after some discourse of business he fell to discourse at large and pleasant, and among other things told us of the plenty of partridges in France, where he says the King of France and his company killed with their guns, in the plain de Versailles, 300 and odd partridges at one bout.</t>
  </si>
  <si>
    <t>On my arrival at Motiers I had written to Lord Keith, marshal of Scotland and governor of Neuchatel, informing him of my retreat into the states of his Prussian majesty, and requesting of him his protection. He answered me with his well-known generosity, and in the manner I had expected from him. He invited me to his house. I went with M. Martinet, lord of the manor of Val de Travers, who was in great favor with his excellency.</t>
  </si>
  <si>
    <t>I to church, where our parson made a melancholy but good sermon; and many and most in the church cried, specially the women. The church mighty full; but few of fashion, and most strangers. I walked to Bednall Green, and there dined well, but a bad venison pasty at Sir W. Rider's. </t>
  </si>
  <si>
    <t>All the morning at the office, Harman being come to my great satisfaction to put up my beds and hangings, so I am at rest, and followed my business all day. Dined with Sir W. Batten, mighty busy about this account, and while my people were busy, wrote near thirty letters and orders with my owne hand. At it till eleven at night; and it is strange to see how clear my head was, being eased of all the matter of all these letters; whereas one would think that I should have been dazed. I never did observe so much of myself in my life. In the evening there comes to me Captain Cocke, and walked a good while in the garden. </t>
  </si>
  <si>
    <t>It cost me till four o'clock in the morning, and, which was pretty to think, I was above an hour, after I had made all right, in casting up of about twenty sums, being dozed with much work, and had for forty times together forgot to carry the 60 which I had in my mind, in one denomination which exceeded 60; and this did confound me for above an hour together.</t>
  </si>
  <si>
    <t>I could wish incessantly to speak of George Keith; from him proceeds my recollection of the last happy moments I have enjoyed: the rest of my life, since our separation, has been passed in affliction and grief of heart. The remembrance of this is so melancholy and confused that it was impossible for me to observe the least order in what I write, so that in future I shall be under the necessity of stating facts without giving them a regular arrangement.</t>
  </si>
  <si>
    <t>I found my residence at Motiers very agreeable, and nothing was wanting to determine me to end my days there, but a certainty of the means of subsistence. Living is dear in that neighborhood, and all my old projects had been overturned by the dissolution of my household arrangements at Montmorency, the establishment of others, the sale or squandering of my furniture, and the expenses incurred since my departure. The little capital which remained to me daily diminished. Two or three years were sufficient to consume the remainder without my having the means of renewing it, except by again engaging in literary pursuits: a pernicious profession which I had already abandoned.</t>
  </si>
  <si>
    <t>We Have Always Lived in the Castle</t>
  </si>
  <si>
    <t>TestNDSseulv1</t>
  </si>
  <si>
    <t>#</t>
  </si>
  <si>
    <t>Classification</t>
  </si>
  <si>
    <t>Confidence</t>
  </si>
  <si>
    <t>Key signal</t>
  </si>
  <si>
    <t>Travel scene with foreign couple, vague &amp; shifting context</t>
  </si>
  <si>
    <t>Vélov → protest → hospital → dark club → drug alley → fight — surreal chain</t>
  </si>
  <si>
    <t>Deliberate memory of reading an Instagram DM, coherent emotional reflection</t>
  </si>
  <si>
    <t>Creature hunt, sword on a cable, Death Road to Canada game logic</t>
  </si>
  <si>
    <t>Colombian glacier expedition journalism, proper names, consistent POV</t>
  </si>
  <si>
    <t>Glaciologist Roderay personifying glaciers — reflective waking monologue</t>
  </si>
  <si>
    <t>Car jumps to rooftop, emotional ambiguity about Lou, surreal spatial logic</t>
  </si>
  <si>
    <t>Celebrity home (Alain Chabat) morphs into familiar domestic space</t>
  </si>
  <si>
    <t>Coherent travel report: road conditions, altitude, sensory details</t>
  </si>
  <si>
    <t>Structured scientific account of Colombian glaciers, no scene breaks</t>
  </si>
  <si>
    <t>Quoted speech from glaciologist, specific figures (10–15 yrs), coherent dialogue</t>
  </si>
  <si>
    <t>Logical landscape ascent toward glaciers, volcanic context, no surreal elements</t>
  </si>
  <si>
    <t>Geological observation of glacial polish, arrival at glacier — factual, linear</t>
  </si>
  <si>
    <t>Scientific expedition: crampons, time-lapse cameras, measurement instruments</t>
  </si>
  <si>
    <t>Sand mountain + 30m plunge into pool — improbable danger, smooth resolution</t>
  </si>
  <si>
    <t>Stadium, Nazi graffiti, fumigènes, frozen car door detaches in hand</t>
  </si>
  <si>
    <t>Grandfather deformed &amp; behaviourally alien, visceral horror, crying — nightmare</t>
  </si>
  <si>
    <t>Expedition logistics: 4am departure, 10-hour drive — precise, journalistic</t>
  </si>
  <si>
    <t>POV shift mid-scene, PMU bar, toilet blockage, Yoan arrives dishevelled</t>
  </si>
  <si>
    <t>Border with drugs, absurd customs check, jovial douanier inspects genitals</t>
  </si>
  <si>
    <t>ENS dormitory exam pause, characters appear/disappear, hitchhiking marker</t>
  </si>
  <si>
    <t>Jaguar intrusion escalates to 15 jaguars in field — threat chain, cast shifts</t>
  </si>
  <si>
    <t>Climbing gym closing mid-session, staff removing holds, vague alt venue</t>
  </si>
  <si>
    <t>Anime island quest, bears claim house, ice tower, tsunami raft — fantasy chain</t>
  </si>
  <si>
    <t>Atomic war + human-sized dinosaurs attacking soldiers — genre blend</t>
  </si>
  <si>
    <t>Island near Seoul → Amsterdam hostel with no causal link — scene jump</t>
  </si>
  <si>
    <t>Reflective commentary on cultural disorientation during expedition</t>
  </si>
  <si>
    <t>Arrival at Cogi village, meeting Marcela — sensory &amp; coherent journalism</t>
  </si>
  <si>
    <t>Analysis of water scarcity tied to glacier loss — structured argument</t>
  </si>
  <si>
    <t>Cogi ceremony dialogue, Marcela translating — narrative coherence</t>
  </si>
  <si>
    <t>Rolre's monthly glacier visits — emotional but linear waking reflection</t>
  </si>
  <si>
    <t>Descending from glacier, weight of responsibility — coherent introspection</t>
  </si>
  <si>
    <t>Close glacier observation: snow patch, cirque protection — scientific</t>
  </si>
  <si>
    <t>Cogi ceremony: chants, quartz crystals, permission ritual — ethnographic</t>
  </si>
  <si>
    <t>Meeting Cogi elders in tipi, fire &amp; smoke, sitting on logs — immersive but linear</t>
  </si>
  <si>
    <t>First steps on Conejeras, UV radiation, scientific awe — consistent narrator</t>
  </si>
  <si>
    <t>Backstory: Kilimanjaro → Marcela's message → expedition formation — causal</t>
  </si>
  <si>
    <t>Conejeras described scientifically: size, shape, altitude — journalistic</t>
  </si>
  <si>
    <t>Arrival at altitude centre, poor sleep, next-day planning — expedition log</t>
  </si>
  <si>
    <t>Marcela's origin story: Colombian NGO, Instagram contact — coherent backstory</t>
  </si>
  <si>
    <t>German station, OL shirts, Lyon train impossible on "Nov 13" — surreal date</t>
  </si>
  <si>
    <t>Jorge Luis Ceballos background, lack of funding — factual, journalistic</t>
  </si>
  <si>
    <t>Emotional arrival on glacier — reflective waking response to experience</t>
  </si>
  <si>
    <t>Lounge, back caressing, Camille kiss, hickey — social scene with logic gaps</t>
  </si>
  <si>
    <t>Academic backstory: no tropical glacier training, Kilimanjaro trip — causal</t>
  </si>
  <si>
    <t>Lyon taco hunt becomes cinema ticket scam — absurdist reward chain</t>
  </si>
  <si>
    <t>Jorge and team energy before glacier hike — journalistic group portrait</t>
  </si>
  <si>
    <t>Emotional kinship with Jorge as fellow glaciologist — waking empathy</t>
  </si>
  <si>
    <t>Time-lapse cameras, ablation stakes, met station — technical field report</t>
  </si>
  <si>
    <t>Stadium helmet battle, observer POV, violence escalation — detached witness</t>
  </si>
  <si>
    <t>Barnier + Mélenchon champagne + Swifties + banana bleu — absurd political mashup</t>
  </si>
  <si>
    <t>Old Lyon bar → Camille restaurant → Rohan king → Aragorn reference — chain</t>
  </si>
  <si>
    <t>Open cavern, people shattering limbs on landing but calmly — harm without distress</t>
  </si>
  <si>
    <t>City parkour, tranquiliser dart, non-binary seduction twist — surreal chain</t>
  </si>
  <si>
    <t>Meeting Jorge Ceballos, shared passion between glaciologists — coherent account</t>
  </si>
  <si>
    <t>Visiting crevassed glaciers, mission crystallises — linear waking reflection</t>
  </si>
  <si>
    <t>Party → metro stops → sleeping on platform → shower queue → man in stall</t>
  </si>
  <si>
    <t>Declikludic / katana purchase, vague politics — short hazy fragment</t>
  </si>
  <si>
    <t>Multi-year monument death game, Michael Jackson summoned at a daycare</t>
  </si>
  <si>
    <t>Bar → bearded seductress → goblin merchant → server on mechanical bull — surreal</t>
  </si>
  <si>
    <t>Naoufel announced dead in class — nightmare shock, woke immediately after</t>
  </si>
  <si>
    <t>Trapdoor reveals mass murder, Ems kiss on mouth in front of mum — incoherent</t>
  </si>
  <si>
    <t>Castle with course-selection confusion — possibly hypnagogic fragment</t>
  </si>
  <si>
    <t>Entire world made of Lego, first-person bewilderment — classic unreality check</t>
  </si>
  <si>
    <t>Castle plant distribution, car-scratch anxiety — mundane affect, surreal setting</t>
  </si>
  <si>
    <t>Thunderous metallic applause with no recalled action — hypnagogic fragment</t>
  </si>
  <si>
    <t>Fast car + teaching photo categories — low scene coherence, possibly hypnagogic</t>
  </si>
  <si>
    <t>Deliberate gaze-defocus at bird feeder — mindful waking perceptual experiment</t>
  </si>
  <si>
    <t>Castle of words, identity threatened by usurper — abstract REM metaphor</t>
  </si>
  <si>
    <t>Magical teacher in castle with shell game — fantastical instruction scene</t>
  </si>
  <si>
    <t>Overcrowded university courses — could be waking anxiety recollection; ambiguous</t>
  </si>
  <si>
    <t>Rousseau's Confessions — 18th-c. autobiography, named persons, legal/property detail</t>
  </si>
  <si>
    <t>Pepys' Diary — financial negotiation, named persons, dated entry style</t>
  </si>
  <si>
    <t>Pepys' Diary — court gossip, partridge hunt at Versailles, specific numbers</t>
  </si>
  <si>
    <t>Rousseau's Confessions — Lord Keith, Neuchâtel, travel to Motiers</t>
  </si>
  <si>
    <t>Pepys — church sermon, Bethnal Green dinner, venison pasty — waking day log</t>
  </si>
  <si>
    <t>Pepys — office work, 30 letters, Captain Cocke garden walk — waking log</t>
  </si>
  <si>
    <t>Pepys — late-night accounting error, carry-60 mistake — coherent fatigue report</t>
  </si>
  <si>
    <t>Rousseau — tribute to George Keith, melancholy recollection — autobiographical</t>
  </si>
  <si>
    <t>Rousseau — financial anxiety at Motiers, literary career doubts — introspection</t>
  </si>
  <si>
    <t>Book title only: "We Have Always Lived in the Castle" — not a report at all</t>
  </si>
  <si>
    <t>Meat dinner → swim race → tennis court → wolves — classic D chain</t>
  </si>
  <si>
    <t>Damasio narrates book while Der IS the hero, flying limbless, turbines</t>
  </si>
  <si>
    <t>Castle feast, chaotic food grabbing — social-hall D scenario</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</si>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</sst>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theme="1"/>
      <name val="Aptos"/>
      <family val="2"/>
    </font>
    <font>
      <sz val="12"/>
      <color theme="1"/>
      <name val="Times New Roman"/>
      <family val="1"/>
    </font>
    <font>
      <vertAlign val="superscript"/>
      <sz val="12"/>
      <color theme="1"/>
      <name val="Times New Roman"/>
      <family val="1"/>
    </font>
    <font>
      <i/>
      <sz val="12"/>
      <color theme="1"/>
      <name val="Times New Roman"/>
      <family val="1"/>
    </font>
    <font>
      <sz val="14"/>
      <color rgb="FF000000"/>
      <name val="Times New Roman"/>
      <family val="1"/>
    </font>
    <font>
      <sz val="7"/>
      <color rgb="FF3D3D3A"/>
      <name val="Segoe UI"/>
      <family val="2"/>
    </font>
    <font>
      <sz val="6"/>
      <color rgb="FF3C3489"/>
      <name val="Segoe UI"/>
      <family val="2"/>
    </font>
    <font>
      <sz val="7"/>
      <color rgb="FF141413"/>
      <name val="Segoe UI"/>
      <family val="2"/>
    </font>
    <font>
      <sz val="7"/>
      <color rgb="FF3D3D3A"/>
      <name val="Segoe UI"/>
      <family val="2"/>
    </font>
    <font>
      <sz val="6"/>
      <color rgb="FF08504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horizontal="justify" vertical="center"/>
    </xf>
    <xf numFmtId="0" fontId="0" fillId="0" borderId="0" xfId="0" applyAlignment="1">
      <alignment wrapText="1"/>
    </xf>
    <xf numFmtId="0" fontId="2" fillId="0" borderId="0" xfId="0" applyFont="1" applyAlignment="1">
      <alignment horizontal="justify" vertical="center" wrapText="1"/>
    </xf>
    <xf numFmtId="0" fontId="5" fillId="0" borderId="0" xfId="0" applyFont="1"/>
    <xf numFmtId="0" fontId="6"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9" fontId="8" fillId="0" borderId="0" xfId="0" applyNumberFormat="1" applyFont="1" applyAlignment="1">
      <alignment vertical="center" wrapText="1"/>
    </xf>
    <xf numFmtId="0" fontId="9" fillId="0" borderId="0" xfId="0" applyFont="1" applyAlignment="1">
      <alignment vertical="center"/>
    </xf>
    <xf numFmtId="0" fontId="10"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9E2B-C72B-47E1-B576-B196F669904B}">
  <dimension ref="A1:P99"/>
  <sheetViews>
    <sheetView tabSelected="1" zoomScale="76" workbookViewId="0">
      <selection activeCell="O14" sqref="O14"/>
    </sheetView>
  </sheetViews>
  <sheetFormatPr baseColWidth="10" defaultRowHeight="14.4" x14ac:dyDescent="0.3"/>
  <sheetData>
    <row r="1" spans="1:16" x14ac:dyDescent="0.3">
      <c r="A1" t="s">
        <v>0</v>
      </c>
      <c r="B1" t="s">
        <v>1</v>
      </c>
      <c r="C1" t="s">
        <v>2</v>
      </c>
      <c r="D1" t="s">
        <v>293</v>
      </c>
      <c r="I1" s="7" t="s">
        <v>294</v>
      </c>
      <c r="J1" s="7" t="s">
        <v>295</v>
      </c>
      <c r="K1" s="7" t="s">
        <v>296</v>
      </c>
      <c r="L1" s="7" t="s">
        <v>297</v>
      </c>
      <c r="O1" t="s">
        <v>382</v>
      </c>
    </row>
    <row r="2" spans="1:16" ht="15.6" x14ac:dyDescent="0.3">
      <c r="A2" t="s">
        <v>35</v>
      </c>
      <c r="B2" s="1" t="s">
        <v>12</v>
      </c>
      <c r="C2">
        <f t="shared" ref="C2:C33" si="0">IF(LEN(TRIM(B2))=0,0,LEN(TRIM(B2))-LEN(SUBSTITUTE(TRIM(B2)," ",""))+1)</f>
        <v>24</v>
      </c>
      <c r="D2">
        <v>0.48</v>
      </c>
      <c r="E2" t="str">
        <f>IF(D2&gt;0,"D",IF(D2&lt;0,"W",""))</f>
        <v>D</v>
      </c>
      <c r="F2" t="b">
        <f>A2=E2</f>
        <v>1</v>
      </c>
      <c r="G2" t="str">
        <f>IF(D2&gt;0.364,"D",IF(D2&lt;0.364,"W",""))</f>
        <v>D</v>
      </c>
      <c r="H2" t="b">
        <f>A2=G2</f>
        <v>1</v>
      </c>
      <c r="I2" s="8">
        <v>1</v>
      </c>
      <c r="J2" s="9" t="s">
        <v>35</v>
      </c>
      <c r="K2" s="10">
        <v>0.72</v>
      </c>
      <c r="L2" s="11" t="s">
        <v>298</v>
      </c>
      <c r="M2" t="b">
        <f>A2=J2</f>
        <v>1</v>
      </c>
      <c r="O2">
        <f>0.48-0.364</f>
        <v>0.11599999999999999</v>
      </c>
      <c r="P2" s="13">
        <v>2.85</v>
      </c>
    </row>
    <row r="3" spans="1:16" ht="15.6" x14ac:dyDescent="0.3">
      <c r="A3" t="s">
        <v>35</v>
      </c>
      <c r="B3" s="1" t="s">
        <v>29</v>
      </c>
      <c r="C3">
        <f t="shared" si="0"/>
        <v>158</v>
      </c>
      <c r="D3">
        <v>2.3199999999999998</v>
      </c>
      <c r="E3" t="str">
        <f t="shared" ref="E3:E66" si="1">IF(D3&gt;0,"D",IF(D3&lt;0,"W",""))</f>
        <v>D</v>
      </c>
      <c r="F3" t="b">
        <f t="shared" ref="F3:F66" si="2">A3=E3</f>
        <v>1</v>
      </c>
      <c r="G3" t="str">
        <f t="shared" ref="G3:G66" si="3">IF(D3&gt;0.364,"D",IF(D3&lt;0.364,"W",""))</f>
        <v>D</v>
      </c>
      <c r="H3" t="b">
        <f t="shared" ref="H3:H66" si="4">A3=G3</f>
        <v>1</v>
      </c>
      <c r="I3" s="8">
        <v>2</v>
      </c>
      <c r="J3" s="9" t="s">
        <v>35</v>
      </c>
      <c r="K3" s="10">
        <v>0.88</v>
      </c>
      <c r="L3" s="11" t="s">
        <v>299</v>
      </c>
      <c r="M3" t="b">
        <f t="shared" ref="M3:M66" si="5">A3=J3</f>
        <v>1</v>
      </c>
      <c r="O3">
        <f>2.32-0.364</f>
        <v>1.956</v>
      </c>
      <c r="P3" s="13">
        <v>1.52</v>
      </c>
    </row>
    <row r="4" spans="1:16" ht="15.6" x14ac:dyDescent="0.3">
      <c r="A4" t="s">
        <v>37</v>
      </c>
      <c r="B4" t="s">
        <v>38</v>
      </c>
      <c r="C4">
        <f t="shared" si="0"/>
        <v>45</v>
      </c>
      <c r="D4">
        <v>-0.83</v>
      </c>
      <c r="E4" t="str">
        <f t="shared" si="1"/>
        <v>W</v>
      </c>
      <c r="F4" t="b">
        <f t="shared" si="2"/>
        <v>1</v>
      </c>
      <c r="G4" t="str">
        <f t="shared" si="3"/>
        <v>W</v>
      </c>
      <c r="H4" t="b">
        <f t="shared" si="4"/>
        <v>1</v>
      </c>
      <c r="I4" s="8">
        <v>3</v>
      </c>
      <c r="J4" s="12" t="s">
        <v>37</v>
      </c>
      <c r="K4" s="10">
        <v>0.78</v>
      </c>
      <c r="L4" s="11" t="s">
        <v>300</v>
      </c>
      <c r="M4" t="b">
        <f t="shared" si="5"/>
        <v>1</v>
      </c>
      <c r="O4">
        <f>-0.83-0.364</f>
        <v>-1.194</v>
      </c>
      <c r="P4" s="13">
        <v>1.4</v>
      </c>
    </row>
    <row r="5" spans="1:16" ht="15.6" x14ac:dyDescent="0.3">
      <c r="A5" t="s">
        <v>35</v>
      </c>
      <c r="B5" s="1" t="s">
        <v>16</v>
      </c>
      <c r="C5">
        <f t="shared" si="0"/>
        <v>66</v>
      </c>
      <c r="D5">
        <v>2.8</v>
      </c>
      <c r="E5" t="str">
        <f t="shared" si="1"/>
        <v>D</v>
      </c>
      <c r="F5" t="b">
        <f t="shared" si="2"/>
        <v>1</v>
      </c>
      <c r="G5" t="str">
        <f t="shared" si="3"/>
        <v>D</v>
      </c>
      <c r="H5" t="b">
        <f t="shared" si="4"/>
        <v>1</v>
      </c>
      <c r="I5" s="8">
        <v>4</v>
      </c>
      <c r="J5" s="9" t="s">
        <v>35</v>
      </c>
      <c r="K5" s="10">
        <v>0.92</v>
      </c>
      <c r="L5" s="11" t="s">
        <v>301</v>
      </c>
      <c r="M5" t="b">
        <f t="shared" si="5"/>
        <v>1</v>
      </c>
      <c r="O5">
        <f>2.8-0.364</f>
        <v>2.4359999999999999</v>
      </c>
      <c r="P5" s="13">
        <v>1.4</v>
      </c>
    </row>
    <row r="6" spans="1:16" ht="15.6" x14ac:dyDescent="0.3">
      <c r="A6" t="s">
        <v>37</v>
      </c>
      <c r="B6" t="s">
        <v>56</v>
      </c>
      <c r="C6">
        <f t="shared" si="0"/>
        <v>83</v>
      </c>
      <c r="D6">
        <v>0.77</v>
      </c>
      <c r="E6" t="str">
        <f t="shared" si="1"/>
        <v>D</v>
      </c>
      <c r="F6" t="b">
        <f t="shared" si="2"/>
        <v>0</v>
      </c>
      <c r="G6" t="str">
        <f t="shared" si="3"/>
        <v>D</v>
      </c>
      <c r="H6" t="b">
        <f t="shared" si="4"/>
        <v>0</v>
      </c>
      <c r="I6" s="8">
        <v>5</v>
      </c>
      <c r="J6" s="12" t="s">
        <v>37</v>
      </c>
      <c r="K6" s="10">
        <v>0.95</v>
      </c>
      <c r="L6" s="11" t="s">
        <v>302</v>
      </c>
      <c r="M6" t="b">
        <f t="shared" si="5"/>
        <v>1</v>
      </c>
      <c r="O6">
        <v>0.77</v>
      </c>
      <c r="P6" s="13">
        <v>1.29</v>
      </c>
    </row>
    <row r="7" spans="1:16" ht="15.6" x14ac:dyDescent="0.3">
      <c r="A7" t="s">
        <v>37</v>
      </c>
      <c r="B7" t="s">
        <v>67</v>
      </c>
      <c r="C7">
        <f t="shared" si="0"/>
        <v>94</v>
      </c>
      <c r="D7">
        <v>-1</v>
      </c>
      <c r="E7" t="str">
        <f t="shared" si="1"/>
        <v>W</v>
      </c>
      <c r="F7" t="b">
        <f t="shared" si="2"/>
        <v>1</v>
      </c>
      <c r="G7" t="str">
        <f t="shared" si="3"/>
        <v>W</v>
      </c>
      <c r="H7" t="b">
        <f t="shared" si="4"/>
        <v>1</v>
      </c>
      <c r="I7" s="8">
        <v>6</v>
      </c>
      <c r="J7" s="12" t="s">
        <v>37</v>
      </c>
      <c r="K7" s="10">
        <v>0.96</v>
      </c>
      <c r="L7" s="11" t="s">
        <v>303</v>
      </c>
      <c r="M7" t="b">
        <f t="shared" si="5"/>
        <v>1</v>
      </c>
      <c r="O7">
        <f>-1-0.364</f>
        <v>-1.3639999999999999</v>
      </c>
      <c r="P7" s="13">
        <v>0.83</v>
      </c>
    </row>
    <row r="8" spans="1:16" ht="15.6" x14ac:dyDescent="0.3">
      <c r="A8" t="s">
        <v>35</v>
      </c>
      <c r="B8" s="2" t="s">
        <v>19</v>
      </c>
      <c r="C8">
        <f t="shared" si="0"/>
        <v>118</v>
      </c>
      <c r="D8">
        <v>1.97</v>
      </c>
      <c r="E8" t="str">
        <f t="shared" si="1"/>
        <v>D</v>
      </c>
      <c r="F8" t="b">
        <f t="shared" si="2"/>
        <v>1</v>
      </c>
      <c r="G8" t="str">
        <f t="shared" si="3"/>
        <v>D</v>
      </c>
      <c r="H8" t="b">
        <f t="shared" si="4"/>
        <v>1</v>
      </c>
      <c r="I8" s="8">
        <v>7</v>
      </c>
      <c r="J8" s="9" t="s">
        <v>35</v>
      </c>
      <c r="K8" s="10">
        <v>0.85</v>
      </c>
      <c r="L8" s="11" t="s">
        <v>304</v>
      </c>
      <c r="M8" t="b">
        <f t="shared" si="5"/>
        <v>1</v>
      </c>
      <c r="O8">
        <f>1.97-0.364</f>
        <v>1.6059999999999999</v>
      </c>
      <c r="P8" s="13">
        <v>0.82</v>
      </c>
    </row>
    <row r="9" spans="1:16" ht="15.6" x14ac:dyDescent="0.3">
      <c r="A9" t="s">
        <v>35</v>
      </c>
      <c r="B9" s="1" t="s">
        <v>8</v>
      </c>
      <c r="C9">
        <f t="shared" si="0"/>
        <v>71</v>
      </c>
      <c r="D9">
        <v>1.35</v>
      </c>
      <c r="E9" t="str">
        <f t="shared" si="1"/>
        <v>D</v>
      </c>
      <c r="F9" t="b">
        <f t="shared" si="2"/>
        <v>1</v>
      </c>
      <c r="G9" t="str">
        <f t="shared" si="3"/>
        <v>D</v>
      </c>
      <c r="H9" t="b">
        <f t="shared" si="4"/>
        <v>1</v>
      </c>
      <c r="I9" s="8">
        <v>8</v>
      </c>
      <c r="J9" s="9" t="s">
        <v>35</v>
      </c>
      <c r="K9" s="10">
        <v>0.8</v>
      </c>
      <c r="L9" s="11" t="s">
        <v>305</v>
      </c>
      <c r="M9" t="b">
        <f t="shared" si="5"/>
        <v>1</v>
      </c>
      <c r="O9">
        <f>1.35-0.364</f>
        <v>0.9860000000000001</v>
      </c>
      <c r="P9" s="13">
        <v>0.49</v>
      </c>
    </row>
    <row r="10" spans="1:16" ht="15.6" x14ac:dyDescent="0.3">
      <c r="A10" t="s">
        <v>37</v>
      </c>
      <c r="B10" t="s">
        <v>51</v>
      </c>
      <c r="C10">
        <f t="shared" si="0"/>
        <v>168</v>
      </c>
      <c r="D10">
        <v>0.91</v>
      </c>
      <c r="E10" t="str">
        <f t="shared" si="1"/>
        <v>D</v>
      </c>
      <c r="F10" t="b">
        <f t="shared" si="2"/>
        <v>0</v>
      </c>
      <c r="G10" t="str">
        <f t="shared" si="3"/>
        <v>D</v>
      </c>
      <c r="H10" t="b">
        <f t="shared" si="4"/>
        <v>0</v>
      </c>
      <c r="I10" s="8">
        <v>9</v>
      </c>
      <c r="J10" s="12" t="s">
        <v>37</v>
      </c>
      <c r="K10" s="10">
        <v>0.94</v>
      </c>
      <c r="L10" s="11" t="s">
        <v>306</v>
      </c>
      <c r="M10" t="b">
        <f t="shared" si="5"/>
        <v>1</v>
      </c>
      <c r="O10">
        <v>0.91</v>
      </c>
      <c r="P10" s="13">
        <v>0.42</v>
      </c>
    </row>
    <row r="11" spans="1:16" ht="15.6" x14ac:dyDescent="0.3">
      <c r="A11" t="s">
        <v>37</v>
      </c>
      <c r="B11" t="s">
        <v>48</v>
      </c>
      <c r="C11">
        <f t="shared" si="0"/>
        <v>185</v>
      </c>
      <c r="D11">
        <v>-1.3</v>
      </c>
      <c r="E11" t="str">
        <f t="shared" si="1"/>
        <v>W</v>
      </c>
      <c r="F11" t="b">
        <f t="shared" si="2"/>
        <v>1</v>
      </c>
      <c r="G11" t="str">
        <f t="shared" si="3"/>
        <v>W</v>
      </c>
      <c r="H11" t="b">
        <f t="shared" si="4"/>
        <v>1</v>
      </c>
      <c r="I11" s="8">
        <v>10</v>
      </c>
      <c r="J11" s="12" t="s">
        <v>37</v>
      </c>
      <c r="K11" s="10">
        <v>0.96</v>
      </c>
      <c r="L11" s="11" t="s">
        <v>307</v>
      </c>
      <c r="M11" t="b">
        <f t="shared" si="5"/>
        <v>1</v>
      </c>
      <c r="O11">
        <f>-1.3-0.364</f>
        <v>-1.6640000000000001</v>
      </c>
      <c r="P11" s="13">
        <v>0.21</v>
      </c>
    </row>
    <row r="12" spans="1:16" ht="15.6" x14ac:dyDescent="0.3">
      <c r="A12" t="s">
        <v>37</v>
      </c>
      <c r="B12" t="s">
        <v>66</v>
      </c>
      <c r="C12">
        <f t="shared" si="0"/>
        <v>141</v>
      </c>
      <c r="D12">
        <v>-0.35</v>
      </c>
      <c r="E12" t="str">
        <f t="shared" si="1"/>
        <v>W</v>
      </c>
      <c r="F12" t="b">
        <f t="shared" si="2"/>
        <v>1</v>
      </c>
      <c r="G12" t="str">
        <f t="shared" si="3"/>
        <v>W</v>
      </c>
      <c r="H12" t="b">
        <f t="shared" si="4"/>
        <v>1</v>
      </c>
      <c r="I12" s="8">
        <v>11</v>
      </c>
      <c r="J12" s="12" t="s">
        <v>37</v>
      </c>
      <c r="K12" s="10">
        <v>0.95</v>
      </c>
      <c r="L12" s="11" t="s">
        <v>308</v>
      </c>
      <c r="M12" t="b">
        <f t="shared" si="5"/>
        <v>1</v>
      </c>
      <c r="O12">
        <f>-0.35-0.364</f>
        <v>-0.71399999999999997</v>
      </c>
      <c r="P12" s="13">
        <v>-1.77</v>
      </c>
    </row>
    <row r="13" spans="1:16" ht="15.6" x14ac:dyDescent="0.3">
      <c r="A13" t="s">
        <v>37</v>
      </c>
      <c r="B13" t="s">
        <v>57</v>
      </c>
      <c r="C13">
        <f t="shared" si="0"/>
        <v>190</v>
      </c>
      <c r="D13">
        <v>0.6</v>
      </c>
      <c r="E13" t="str">
        <f t="shared" si="1"/>
        <v>D</v>
      </c>
      <c r="F13" t="b">
        <f t="shared" si="2"/>
        <v>0</v>
      </c>
      <c r="G13" t="str">
        <f t="shared" si="3"/>
        <v>D</v>
      </c>
      <c r="H13" t="b">
        <f t="shared" si="4"/>
        <v>0</v>
      </c>
      <c r="I13" s="8">
        <v>12</v>
      </c>
      <c r="J13" s="12" t="s">
        <v>37</v>
      </c>
      <c r="K13" s="10">
        <v>0.94</v>
      </c>
      <c r="L13" s="11" t="s">
        <v>309</v>
      </c>
      <c r="M13" t="b">
        <f t="shared" si="5"/>
        <v>1</v>
      </c>
      <c r="O13">
        <f>0.6-0.364</f>
        <v>0.23599999999999999</v>
      </c>
      <c r="P13" s="13">
        <v>-1.58</v>
      </c>
    </row>
    <row r="14" spans="1:16" ht="15.6" x14ac:dyDescent="0.3">
      <c r="A14" t="s">
        <v>37</v>
      </c>
      <c r="B14" t="s">
        <v>58</v>
      </c>
      <c r="C14">
        <f t="shared" si="0"/>
        <v>108</v>
      </c>
      <c r="D14">
        <v>0.79</v>
      </c>
      <c r="E14" t="str">
        <f t="shared" si="1"/>
        <v>D</v>
      </c>
      <c r="F14" t="b">
        <f t="shared" si="2"/>
        <v>0</v>
      </c>
      <c r="G14" t="str">
        <f t="shared" si="3"/>
        <v>D</v>
      </c>
      <c r="H14" t="b">
        <f t="shared" si="4"/>
        <v>0</v>
      </c>
      <c r="I14" s="8">
        <v>13</v>
      </c>
      <c r="J14" s="12" t="s">
        <v>37</v>
      </c>
      <c r="K14" s="10">
        <v>0.95</v>
      </c>
      <c r="L14" s="11" t="s">
        <v>310</v>
      </c>
      <c r="M14" t="b">
        <f t="shared" si="5"/>
        <v>1</v>
      </c>
      <c r="O14">
        <f>0.79-0.364</f>
        <v>0.42600000000000005</v>
      </c>
      <c r="P14" s="13">
        <v>-1.2</v>
      </c>
    </row>
    <row r="15" spans="1:16" ht="15.6" x14ac:dyDescent="0.3">
      <c r="A15" t="s">
        <v>37</v>
      </c>
      <c r="B15" t="s">
        <v>62</v>
      </c>
      <c r="C15">
        <f t="shared" si="0"/>
        <v>102</v>
      </c>
      <c r="D15">
        <v>0.36</v>
      </c>
      <c r="E15" t="str">
        <f t="shared" si="1"/>
        <v>D</v>
      </c>
      <c r="F15" t="b">
        <f t="shared" si="2"/>
        <v>0</v>
      </c>
      <c r="G15" t="str">
        <f t="shared" si="3"/>
        <v>W</v>
      </c>
      <c r="H15" t="b">
        <f t="shared" si="4"/>
        <v>1</v>
      </c>
      <c r="I15" s="8">
        <v>14</v>
      </c>
      <c r="J15" s="12" t="s">
        <v>37</v>
      </c>
      <c r="K15" s="10">
        <v>0.96</v>
      </c>
      <c r="L15" s="11" t="s">
        <v>311</v>
      </c>
      <c r="M15" t="b">
        <f t="shared" si="5"/>
        <v>1</v>
      </c>
      <c r="O15">
        <f>0.36-0.364</f>
        <v>-4.0000000000000036E-3</v>
      </c>
      <c r="P15" s="13">
        <v>-0.73</v>
      </c>
    </row>
    <row r="16" spans="1:16" ht="15.6" x14ac:dyDescent="0.3">
      <c r="A16" t="s">
        <v>35</v>
      </c>
      <c r="B16" s="1" t="s">
        <v>7</v>
      </c>
      <c r="C16">
        <f t="shared" si="0"/>
        <v>146</v>
      </c>
      <c r="D16">
        <v>2.96</v>
      </c>
      <c r="E16" t="str">
        <f t="shared" si="1"/>
        <v>D</v>
      </c>
      <c r="F16" t="b">
        <f t="shared" si="2"/>
        <v>1</v>
      </c>
      <c r="G16" t="str">
        <f t="shared" si="3"/>
        <v>D</v>
      </c>
      <c r="H16" t="b">
        <f t="shared" si="4"/>
        <v>1</v>
      </c>
      <c r="I16" s="8">
        <v>15</v>
      </c>
      <c r="J16" s="9" t="s">
        <v>35</v>
      </c>
      <c r="K16" s="10">
        <v>0.82</v>
      </c>
      <c r="L16" s="11" t="s">
        <v>379</v>
      </c>
      <c r="M16" t="b">
        <f t="shared" si="5"/>
        <v>1</v>
      </c>
      <c r="O16">
        <f>2.96-0.364</f>
        <v>2.5960000000000001</v>
      </c>
      <c r="P16" s="13">
        <v>-0.49</v>
      </c>
    </row>
    <row r="17" spans="1:16" ht="15.6" x14ac:dyDescent="0.3">
      <c r="A17" t="s">
        <v>35</v>
      </c>
      <c r="B17" s="1" t="s">
        <v>4</v>
      </c>
      <c r="C17">
        <f t="shared" si="0"/>
        <v>60</v>
      </c>
      <c r="D17">
        <v>2.1</v>
      </c>
      <c r="E17" t="str">
        <f t="shared" si="1"/>
        <v>D</v>
      </c>
      <c r="F17" t="b">
        <f t="shared" si="2"/>
        <v>1</v>
      </c>
      <c r="G17" t="str">
        <f t="shared" si="3"/>
        <v>D</v>
      </c>
      <c r="H17" t="b">
        <f t="shared" si="4"/>
        <v>1</v>
      </c>
      <c r="I17" s="8">
        <v>16</v>
      </c>
      <c r="J17" s="9" t="s">
        <v>35</v>
      </c>
      <c r="K17" s="10">
        <v>0.85</v>
      </c>
      <c r="L17" s="11" t="s">
        <v>312</v>
      </c>
      <c r="M17" t="b">
        <f t="shared" si="5"/>
        <v>1</v>
      </c>
      <c r="O17">
        <f>2.1-0.364</f>
        <v>1.7360000000000002</v>
      </c>
      <c r="P17">
        <f>SUM(P2:P16)</f>
        <v>5.4600000000000026</v>
      </c>
    </row>
    <row r="18" spans="1:16" ht="15.6" x14ac:dyDescent="0.3">
      <c r="A18" t="s">
        <v>35</v>
      </c>
      <c r="B18" s="1" t="s">
        <v>30</v>
      </c>
      <c r="C18">
        <f t="shared" si="0"/>
        <v>73</v>
      </c>
      <c r="D18">
        <v>1.99</v>
      </c>
      <c r="E18" t="str">
        <f t="shared" si="1"/>
        <v>D</v>
      </c>
      <c r="F18" t="b">
        <f t="shared" si="2"/>
        <v>1</v>
      </c>
      <c r="G18" t="str">
        <f t="shared" si="3"/>
        <v>D</v>
      </c>
      <c r="H18" t="b">
        <f t="shared" si="4"/>
        <v>1</v>
      </c>
      <c r="I18" s="8">
        <v>17</v>
      </c>
      <c r="J18" s="9" t="s">
        <v>35</v>
      </c>
      <c r="K18" s="10">
        <v>0.84</v>
      </c>
      <c r="L18" s="11" t="s">
        <v>313</v>
      </c>
      <c r="M18" t="b">
        <f t="shared" si="5"/>
        <v>1</v>
      </c>
      <c r="O18">
        <f>1.99-0.364</f>
        <v>1.6259999999999999</v>
      </c>
      <c r="P18">
        <f>5.46/15</f>
        <v>0.36399999999999999</v>
      </c>
    </row>
    <row r="19" spans="1:16" ht="15.6" x14ac:dyDescent="0.3">
      <c r="A19" t="s">
        <v>35</v>
      </c>
      <c r="B19" s="1" t="s">
        <v>32</v>
      </c>
      <c r="C19">
        <f t="shared" si="0"/>
        <v>75</v>
      </c>
      <c r="D19">
        <v>2.5</v>
      </c>
      <c r="E19" t="str">
        <f t="shared" si="1"/>
        <v>D</v>
      </c>
      <c r="F19" t="b">
        <f t="shared" si="2"/>
        <v>1</v>
      </c>
      <c r="G19" t="str">
        <f t="shared" si="3"/>
        <v>D</v>
      </c>
      <c r="H19" t="b">
        <f t="shared" si="4"/>
        <v>1</v>
      </c>
      <c r="I19" s="8">
        <v>18</v>
      </c>
      <c r="J19" s="9" t="s">
        <v>35</v>
      </c>
      <c r="K19" s="10">
        <v>0.9</v>
      </c>
      <c r="L19" s="11" t="s">
        <v>314</v>
      </c>
      <c r="M19" t="b">
        <f t="shared" si="5"/>
        <v>1</v>
      </c>
      <c r="O19">
        <f>2.5-0.364</f>
        <v>2.1360000000000001</v>
      </c>
    </row>
    <row r="20" spans="1:16" x14ac:dyDescent="0.3">
      <c r="A20" t="s">
        <v>37</v>
      </c>
      <c r="B20" t="s">
        <v>50</v>
      </c>
      <c r="C20">
        <f t="shared" si="0"/>
        <v>53</v>
      </c>
      <c r="D20">
        <v>-0.99</v>
      </c>
      <c r="E20" t="str">
        <f t="shared" si="1"/>
        <v>W</v>
      </c>
      <c r="F20" t="b">
        <f t="shared" si="2"/>
        <v>1</v>
      </c>
      <c r="G20" t="str">
        <f t="shared" si="3"/>
        <v>W</v>
      </c>
      <c r="H20" t="b">
        <f t="shared" si="4"/>
        <v>1</v>
      </c>
      <c r="I20" s="8">
        <v>19</v>
      </c>
      <c r="J20" s="12" t="s">
        <v>37</v>
      </c>
      <c r="K20" s="10">
        <v>0.95</v>
      </c>
      <c r="L20" s="11" t="s">
        <v>315</v>
      </c>
      <c r="M20" t="b">
        <f t="shared" si="5"/>
        <v>1</v>
      </c>
      <c r="O20">
        <f>-0.99-0.364</f>
        <v>-1.3540000000000001</v>
      </c>
    </row>
    <row r="21" spans="1:16" ht="15.6" x14ac:dyDescent="0.3">
      <c r="A21" t="s">
        <v>35</v>
      </c>
      <c r="B21" s="2" t="s">
        <v>25</v>
      </c>
      <c r="C21">
        <f t="shared" si="0"/>
        <v>73</v>
      </c>
      <c r="D21">
        <v>1.78</v>
      </c>
      <c r="E21" t="str">
        <f t="shared" si="1"/>
        <v>D</v>
      </c>
      <c r="F21" t="b">
        <f t="shared" si="2"/>
        <v>1</v>
      </c>
      <c r="G21" t="str">
        <f t="shared" si="3"/>
        <v>D</v>
      </c>
      <c r="H21" t="b">
        <f t="shared" si="4"/>
        <v>1</v>
      </c>
      <c r="I21" s="8">
        <v>20</v>
      </c>
      <c r="J21" s="9" t="s">
        <v>35</v>
      </c>
      <c r="K21" s="10">
        <v>0.78</v>
      </c>
      <c r="L21" s="11" t="s">
        <v>316</v>
      </c>
      <c r="M21" t="b">
        <f t="shared" si="5"/>
        <v>1</v>
      </c>
      <c r="O21">
        <f>1.78-0.364</f>
        <v>1.4159999999999999</v>
      </c>
    </row>
    <row r="22" spans="1:16" ht="15.6" x14ac:dyDescent="0.3">
      <c r="A22" t="s">
        <v>35</v>
      </c>
      <c r="B22" s="1" t="s">
        <v>21</v>
      </c>
      <c r="C22">
        <f t="shared" si="0"/>
        <v>82</v>
      </c>
      <c r="D22">
        <v>1.95</v>
      </c>
      <c r="E22" t="str">
        <f t="shared" si="1"/>
        <v>D</v>
      </c>
      <c r="F22" t="b">
        <f t="shared" si="2"/>
        <v>1</v>
      </c>
      <c r="G22" t="str">
        <f t="shared" si="3"/>
        <v>D</v>
      </c>
      <c r="H22" t="b">
        <f t="shared" si="4"/>
        <v>1</v>
      </c>
      <c r="I22" s="8">
        <v>21</v>
      </c>
      <c r="J22" s="9" t="s">
        <v>35</v>
      </c>
      <c r="K22" s="10">
        <v>0.86</v>
      </c>
      <c r="L22" s="11" t="s">
        <v>317</v>
      </c>
      <c r="M22" t="b">
        <f t="shared" si="5"/>
        <v>1</v>
      </c>
      <c r="O22">
        <f>1.95-0.364</f>
        <v>1.5859999999999999</v>
      </c>
    </row>
    <row r="23" spans="1:16" ht="15.6" x14ac:dyDescent="0.3">
      <c r="A23" t="s">
        <v>35</v>
      </c>
      <c r="B23" s="1" t="s">
        <v>18</v>
      </c>
      <c r="C23">
        <f t="shared" si="0"/>
        <v>90</v>
      </c>
      <c r="D23">
        <v>0.98</v>
      </c>
      <c r="E23" t="str">
        <f t="shared" si="1"/>
        <v>D</v>
      </c>
      <c r="F23" t="b">
        <f t="shared" si="2"/>
        <v>1</v>
      </c>
      <c r="G23" t="str">
        <f t="shared" si="3"/>
        <v>D</v>
      </c>
      <c r="H23" t="b">
        <f t="shared" si="4"/>
        <v>1</v>
      </c>
      <c r="I23" s="8">
        <v>22</v>
      </c>
      <c r="J23" s="9" t="s">
        <v>35</v>
      </c>
      <c r="K23" s="10">
        <v>0.8</v>
      </c>
      <c r="L23" s="11" t="s">
        <v>318</v>
      </c>
      <c r="M23" t="b">
        <f t="shared" si="5"/>
        <v>1</v>
      </c>
      <c r="O23">
        <f>0.98-0.364</f>
        <v>0.61599999999999999</v>
      </c>
    </row>
    <row r="24" spans="1:16" ht="15.6" x14ac:dyDescent="0.3">
      <c r="A24" t="s">
        <v>35</v>
      </c>
      <c r="B24" s="1" t="s">
        <v>22</v>
      </c>
      <c r="C24">
        <f t="shared" si="0"/>
        <v>241</v>
      </c>
      <c r="D24">
        <v>2.5</v>
      </c>
      <c r="E24" t="str">
        <f t="shared" si="1"/>
        <v>D</v>
      </c>
      <c r="F24" t="b">
        <f t="shared" si="2"/>
        <v>1</v>
      </c>
      <c r="G24" t="str">
        <f t="shared" si="3"/>
        <v>D</v>
      </c>
      <c r="H24" t="b">
        <f t="shared" si="4"/>
        <v>1</v>
      </c>
      <c r="I24" s="8">
        <v>23</v>
      </c>
      <c r="J24" s="9" t="s">
        <v>35</v>
      </c>
      <c r="K24" s="10">
        <v>0.91</v>
      </c>
      <c r="L24" s="11" t="s">
        <v>319</v>
      </c>
      <c r="M24" t="b">
        <f t="shared" si="5"/>
        <v>1</v>
      </c>
      <c r="O24">
        <f>2.5-0.364</f>
        <v>2.1360000000000001</v>
      </c>
    </row>
    <row r="25" spans="1:16" ht="15.6" x14ac:dyDescent="0.3">
      <c r="A25" t="s">
        <v>35</v>
      </c>
      <c r="B25" s="1" t="s">
        <v>6</v>
      </c>
      <c r="C25">
        <f t="shared" si="0"/>
        <v>55</v>
      </c>
      <c r="D25">
        <v>1.06</v>
      </c>
      <c r="E25" t="str">
        <f t="shared" si="1"/>
        <v>D</v>
      </c>
      <c r="F25" t="b">
        <f t="shared" si="2"/>
        <v>1</v>
      </c>
      <c r="G25" t="str">
        <f t="shared" si="3"/>
        <v>D</v>
      </c>
      <c r="H25" t="b">
        <f t="shared" si="4"/>
        <v>1</v>
      </c>
      <c r="I25" s="8">
        <v>24</v>
      </c>
      <c r="J25" s="9" t="s">
        <v>35</v>
      </c>
      <c r="K25" s="10">
        <v>0.76</v>
      </c>
      <c r="L25" s="11" t="s">
        <v>320</v>
      </c>
      <c r="M25" t="b">
        <f t="shared" si="5"/>
        <v>1</v>
      </c>
      <c r="O25">
        <f>1.06-0.364</f>
        <v>0.69600000000000006</v>
      </c>
    </row>
    <row r="26" spans="1:16" ht="15.6" x14ac:dyDescent="0.3">
      <c r="A26" t="s">
        <v>35</v>
      </c>
      <c r="B26" s="1" t="s">
        <v>17</v>
      </c>
      <c r="C26">
        <f t="shared" si="0"/>
        <v>206</v>
      </c>
      <c r="D26">
        <v>4.2699999999999996</v>
      </c>
      <c r="E26" t="str">
        <f t="shared" si="1"/>
        <v>D</v>
      </c>
      <c r="F26" t="b">
        <f t="shared" si="2"/>
        <v>1</v>
      </c>
      <c r="G26" t="str">
        <f t="shared" si="3"/>
        <v>D</v>
      </c>
      <c r="H26" t="b">
        <f t="shared" si="4"/>
        <v>1</v>
      </c>
      <c r="I26" s="8">
        <v>25</v>
      </c>
      <c r="J26" s="9" t="s">
        <v>35</v>
      </c>
      <c r="K26" s="10">
        <v>0.92</v>
      </c>
      <c r="L26" s="11" t="s">
        <v>321</v>
      </c>
      <c r="M26" t="b">
        <f t="shared" si="5"/>
        <v>1</v>
      </c>
      <c r="O26">
        <f>4.27-0.364</f>
        <v>3.9059999999999997</v>
      </c>
    </row>
    <row r="27" spans="1:16" ht="15.6" x14ac:dyDescent="0.3">
      <c r="A27" t="s">
        <v>35</v>
      </c>
      <c r="B27" s="1" t="s">
        <v>33</v>
      </c>
      <c r="C27">
        <f t="shared" si="0"/>
        <v>78</v>
      </c>
      <c r="D27">
        <v>3.27</v>
      </c>
      <c r="E27" t="str">
        <f t="shared" si="1"/>
        <v>D</v>
      </c>
      <c r="F27" t="b">
        <f t="shared" si="2"/>
        <v>1</v>
      </c>
      <c r="G27" t="str">
        <f t="shared" si="3"/>
        <v>D</v>
      </c>
      <c r="H27" t="b">
        <f t="shared" si="4"/>
        <v>1</v>
      </c>
      <c r="I27" s="8">
        <v>26</v>
      </c>
      <c r="J27" s="9" t="s">
        <v>35</v>
      </c>
      <c r="K27" s="10">
        <v>0.9</v>
      </c>
      <c r="L27" s="11" t="s">
        <v>322</v>
      </c>
      <c r="M27" t="b">
        <f t="shared" si="5"/>
        <v>1</v>
      </c>
      <c r="O27">
        <f>3.27-0.364</f>
        <v>2.9060000000000001</v>
      </c>
    </row>
    <row r="28" spans="1:16" ht="15.6" x14ac:dyDescent="0.3">
      <c r="A28" t="s">
        <v>35</v>
      </c>
      <c r="B28" s="1" t="s">
        <v>20</v>
      </c>
      <c r="C28">
        <f t="shared" si="0"/>
        <v>56</v>
      </c>
      <c r="D28">
        <v>1.82</v>
      </c>
      <c r="E28" t="str">
        <f t="shared" si="1"/>
        <v>D</v>
      </c>
      <c r="F28" t="b">
        <f t="shared" si="2"/>
        <v>1</v>
      </c>
      <c r="G28" t="str">
        <f t="shared" si="3"/>
        <v>D</v>
      </c>
      <c r="H28" t="b">
        <f t="shared" si="4"/>
        <v>1</v>
      </c>
      <c r="I28" s="8">
        <v>27</v>
      </c>
      <c r="J28" s="9" t="s">
        <v>35</v>
      </c>
      <c r="K28" s="10">
        <v>0.8</v>
      </c>
      <c r="L28" s="11" t="s">
        <v>323</v>
      </c>
      <c r="M28" t="b">
        <f t="shared" si="5"/>
        <v>1</v>
      </c>
      <c r="O28">
        <f>1.82-0.364</f>
        <v>1.456</v>
      </c>
    </row>
    <row r="29" spans="1:16" x14ac:dyDescent="0.3">
      <c r="A29" t="s">
        <v>37</v>
      </c>
      <c r="B29" t="s">
        <v>43</v>
      </c>
      <c r="C29">
        <f t="shared" si="0"/>
        <v>57</v>
      </c>
      <c r="D29">
        <v>-0.77</v>
      </c>
      <c r="E29" t="str">
        <f t="shared" si="1"/>
        <v>W</v>
      </c>
      <c r="F29" t="b">
        <f t="shared" si="2"/>
        <v>1</v>
      </c>
      <c r="G29" t="str">
        <f t="shared" si="3"/>
        <v>W</v>
      </c>
      <c r="H29" t="b">
        <f t="shared" si="4"/>
        <v>1</v>
      </c>
      <c r="I29" s="8">
        <v>28</v>
      </c>
      <c r="J29" s="12" t="s">
        <v>37</v>
      </c>
      <c r="K29" s="10">
        <v>0.88</v>
      </c>
      <c r="L29" s="11" t="s">
        <v>324</v>
      </c>
      <c r="M29" t="b">
        <f t="shared" si="5"/>
        <v>1</v>
      </c>
      <c r="O29">
        <f>-0.77-0.364</f>
        <v>-1.1339999999999999</v>
      </c>
    </row>
    <row r="30" spans="1:16" x14ac:dyDescent="0.3">
      <c r="A30" t="s">
        <v>37</v>
      </c>
      <c r="B30" t="s">
        <v>42</v>
      </c>
      <c r="C30">
        <f t="shared" si="0"/>
        <v>126</v>
      </c>
      <c r="D30">
        <v>1.1200000000000001</v>
      </c>
      <c r="E30" t="str">
        <f t="shared" si="1"/>
        <v>D</v>
      </c>
      <c r="F30" t="b">
        <f t="shared" si="2"/>
        <v>0</v>
      </c>
      <c r="G30" t="str">
        <f t="shared" si="3"/>
        <v>D</v>
      </c>
      <c r="H30" t="b">
        <f t="shared" si="4"/>
        <v>0</v>
      </c>
      <c r="I30" s="8">
        <v>29</v>
      </c>
      <c r="J30" s="12" t="s">
        <v>37</v>
      </c>
      <c r="K30" s="10">
        <v>0.95</v>
      </c>
      <c r="L30" s="11" t="s">
        <v>325</v>
      </c>
      <c r="M30" t="b">
        <f t="shared" si="5"/>
        <v>1</v>
      </c>
      <c r="O30">
        <f>1.12-0.364</f>
        <v>0.75600000000000012</v>
      </c>
    </row>
    <row r="31" spans="1:16" x14ac:dyDescent="0.3">
      <c r="A31" t="s">
        <v>37</v>
      </c>
      <c r="B31" t="s">
        <v>49</v>
      </c>
      <c r="C31">
        <f t="shared" si="0"/>
        <v>82</v>
      </c>
      <c r="D31">
        <v>-0.91</v>
      </c>
      <c r="E31" t="str">
        <f t="shared" si="1"/>
        <v>W</v>
      </c>
      <c r="F31" t="b">
        <f t="shared" si="2"/>
        <v>1</v>
      </c>
      <c r="G31" t="str">
        <f t="shared" si="3"/>
        <v>W</v>
      </c>
      <c r="H31" t="b">
        <f t="shared" si="4"/>
        <v>1</v>
      </c>
      <c r="I31" s="8">
        <v>30</v>
      </c>
      <c r="J31" s="12" t="s">
        <v>37</v>
      </c>
      <c r="K31" s="10">
        <v>0.95</v>
      </c>
      <c r="L31" s="11" t="s">
        <v>326</v>
      </c>
      <c r="M31" t="b">
        <f t="shared" si="5"/>
        <v>1</v>
      </c>
      <c r="O31">
        <f>-0.91-0.364</f>
        <v>-1.274</v>
      </c>
    </row>
    <row r="32" spans="1:16" x14ac:dyDescent="0.3">
      <c r="A32" t="s">
        <v>37</v>
      </c>
      <c r="B32" t="s">
        <v>45</v>
      </c>
      <c r="C32">
        <f t="shared" si="0"/>
        <v>95</v>
      </c>
      <c r="D32">
        <v>-0.38</v>
      </c>
      <c r="E32" t="str">
        <f t="shared" si="1"/>
        <v>W</v>
      </c>
      <c r="F32" t="b">
        <f t="shared" si="2"/>
        <v>1</v>
      </c>
      <c r="G32" t="str">
        <f t="shared" si="3"/>
        <v>W</v>
      </c>
      <c r="H32" t="b">
        <f t="shared" si="4"/>
        <v>1</v>
      </c>
      <c r="I32" s="8">
        <v>31</v>
      </c>
      <c r="J32" s="12" t="s">
        <v>37</v>
      </c>
      <c r="K32" s="10">
        <v>0.94</v>
      </c>
      <c r="L32" s="11" t="s">
        <v>327</v>
      </c>
      <c r="M32" t="b">
        <f t="shared" si="5"/>
        <v>1</v>
      </c>
      <c r="O32">
        <f>-0.38-0.364</f>
        <v>-0.74399999999999999</v>
      </c>
    </row>
    <row r="33" spans="1:15" x14ac:dyDescent="0.3">
      <c r="A33" t="s">
        <v>37</v>
      </c>
      <c r="B33" t="s">
        <v>59</v>
      </c>
      <c r="C33">
        <f t="shared" si="0"/>
        <v>50</v>
      </c>
      <c r="D33">
        <v>-0.33</v>
      </c>
      <c r="E33" t="str">
        <f t="shared" si="1"/>
        <v>W</v>
      </c>
      <c r="F33" t="b">
        <f t="shared" si="2"/>
        <v>1</v>
      </c>
      <c r="G33" t="str">
        <f t="shared" si="3"/>
        <v>W</v>
      </c>
      <c r="H33" t="b">
        <f t="shared" si="4"/>
        <v>1</v>
      </c>
      <c r="I33" s="8">
        <v>32</v>
      </c>
      <c r="J33" s="12" t="s">
        <v>37</v>
      </c>
      <c r="K33" s="10">
        <v>0.94</v>
      </c>
      <c r="L33" s="11" t="s">
        <v>328</v>
      </c>
      <c r="M33" t="b">
        <f t="shared" si="5"/>
        <v>1</v>
      </c>
      <c r="O33">
        <f>-0.33-0.364</f>
        <v>-0.69399999999999995</v>
      </c>
    </row>
    <row r="34" spans="1:15" x14ac:dyDescent="0.3">
      <c r="A34" t="s">
        <v>37</v>
      </c>
      <c r="B34" t="s">
        <v>69</v>
      </c>
      <c r="C34">
        <f t="shared" ref="C34:C65" si="6">IF(LEN(TRIM(B34))=0,0,LEN(TRIM(B34))-LEN(SUBSTITUTE(TRIM(B34)," ",""))+1)</f>
        <v>112</v>
      </c>
      <c r="D34">
        <v>-1.86</v>
      </c>
      <c r="E34" t="str">
        <f t="shared" si="1"/>
        <v>W</v>
      </c>
      <c r="F34" t="b">
        <f t="shared" si="2"/>
        <v>1</v>
      </c>
      <c r="G34" t="str">
        <f t="shared" si="3"/>
        <v>W</v>
      </c>
      <c r="H34" t="b">
        <f t="shared" si="4"/>
        <v>1</v>
      </c>
      <c r="I34" s="8">
        <v>33</v>
      </c>
      <c r="J34" s="12" t="s">
        <v>37</v>
      </c>
      <c r="K34" s="10">
        <v>0.93</v>
      </c>
      <c r="L34" s="11" t="s">
        <v>329</v>
      </c>
      <c r="M34" t="b">
        <f t="shared" si="5"/>
        <v>1</v>
      </c>
      <c r="O34">
        <f>-1.86-0.364</f>
        <v>-2.2240000000000002</v>
      </c>
    </row>
    <row r="35" spans="1:15" x14ac:dyDescent="0.3">
      <c r="A35" t="s">
        <v>37</v>
      </c>
      <c r="B35" t="s">
        <v>65</v>
      </c>
      <c r="C35">
        <f t="shared" si="6"/>
        <v>111</v>
      </c>
      <c r="D35">
        <v>-0.16</v>
      </c>
      <c r="E35" t="str">
        <f t="shared" si="1"/>
        <v>W</v>
      </c>
      <c r="F35" t="b">
        <f t="shared" si="2"/>
        <v>1</v>
      </c>
      <c r="G35" t="str">
        <f t="shared" si="3"/>
        <v>W</v>
      </c>
      <c r="H35" t="b">
        <f t="shared" si="4"/>
        <v>1</v>
      </c>
      <c r="I35" s="8">
        <v>34</v>
      </c>
      <c r="J35" s="12" t="s">
        <v>37</v>
      </c>
      <c r="K35" s="10">
        <v>0.93</v>
      </c>
      <c r="L35" s="11" t="s">
        <v>330</v>
      </c>
      <c r="M35" t="b">
        <f t="shared" si="5"/>
        <v>1</v>
      </c>
      <c r="O35">
        <f>-0.16-0.364</f>
        <v>-0.52400000000000002</v>
      </c>
    </row>
    <row r="36" spans="1:15" x14ac:dyDescent="0.3">
      <c r="A36" t="s">
        <v>37</v>
      </c>
      <c r="B36" t="s">
        <v>46</v>
      </c>
      <c r="C36">
        <f t="shared" si="6"/>
        <v>172</v>
      </c>
      <c r="D36">
        <v>0.97</v>
      </c>
      <c r="E36" t="str">
        <f t="shared" si="1"/>
        <v>D</v>
      </c>
      <c r="F36" t="b">
        <f t="shared" si="2"/>
        <v>0</v>
      </c>
      <c r="G36" t="str">
        <f t="shared" si="3"/>
        <v>D</v>
      </c>
      <c r="H36" t="b">
        <f t="shared" si="4"/>
        <v>0</v>
      </c>
      <c r="I36" s="8">
        <v>35</v>
      </c>
      <c r="J36" s="12" t="s">
        <v>37</v>
      </c>
      <c r="K36" s="10">
        <v>0.95</v>
      </c>
      <c r="L36" s="11" t="s">
        <v>331</v>
      </c>
      <c r="M36" t="b">
        <f t="shared" si="5"/>
        <v>1</v>
      </c>
      <c r="O36">
        <f>0.97-0.364</f>
        <v>0.60599999999999998</v>
      </c>
    </row>
    <row r="37" spans="1:15" x14ac:dyDescent="0.3">
      <c r="A37" t="s">
        <v>37</v>
      </c>
      <c r="B37" t="s">
        <v>44</v>
      </c>
      <c r="C37">
        <f t="shared" si="6"/>
        <v>99</v>
      </c>
      <c r="D37">
        <v>1.84</v>
      </c>
      <c r="E37" t="str">
        <f t="shared" si="1"/>
        <v>D</v>
      </c>
      <c r="F37" t="b">
        <f t="shared" si="2"/>
        <v>0</v>
      </c>
      <c r="G37" t="str">
        <f t="shared" si="3"/>
        <v>D</v>
      </c>
      <c r="H37" t="b">
        <f t="shared" si="4"/>
        <v>0</v>
      </c>
      <c r="I37" s="8">
        <v>36</v>
      </c>
      <c r="J37" s="12" t="s">
        <v>37</v>
      </c>
      <c r="K37" s="10">
        <v>0.95</v>
      </c>
      <c r="L37" s="11" t="s">
        <v>332</v>
      </c>
      <c r="M37" t="b">
        <f t="shared" si="5"/>
        <v>1</v>
      </c>
      <c r="O37">
        <f>1.84-0.364</f>
        <v>1.476</v>
      </c>
    </row>
    <row r="38" spans="1:15" x14ac:dyDescent="0.3">
      <c r="A38" t="s">
        <v>37</v>
      </c>
      <c r="B38" t="s">
        <v>61</v>
      </c>
      <c r="C38">
        <f t="shared" si="6"/>
        <v>95</v>
      </c>
      <c r="D38">
        <v>0.9</v>
      </c>
      <c r="E38" t="str">
        <f t="shared" si="1"/>
        <v>D</v>
      </c>
      <c r="F38" t="b">
        <f t="shared" si="2"/>
        <v>0</v>
      </c>
      <c r="G38" t="str">
        <f t="shared" si="3"/>
        <v>D</v>
      </c>
      <c r="H38" t="b">
        <f t="shared" si="4"/>
        <v>0</v>
      </c>
      <c r="I38" s="8">
        <v>37</v>
      </c>
      <c r="J38" s="12" t="s">
        <v>37</v>
      </c>
      <c r="K38" s="10">
        <v>0.94</v>
      </c>
      <c r="L38" s="11" t="s">
        <v>333</v>
      </c>
      <c r="M38" t="b">
        <f t="shared" si="5"/>
        <v>1</v>
      </c>
      <c r="O38">
        <f>0.9-0.364</f>
        <v>0.53600000000000003</v>
      </c>
    </row>
    <row r="39" spans="1:15" x14ac:dyDescent="0.3">
      <c r="A39" t="s">
        <v>37</v>
      </c>
      <c r="B39" t="s">
        <v>41</v>
      </c>
      <c r="C39">
        <f t="shared" si="6"/>
        <v>90</v>
      </c>
      <c r="D39">
        <v>-1.35</v>
      </c>
      <c r="E39" t="str">
        <f t="shared" si="1"/>
        <v>W</v>
      </c>
      <c r="F39" t="b">
        <f t="shared" si="2"/>
        <v>1</v>
      </c>
      <c r="G39" t="str">
        <f t="shared" si="3"/>
        <v>W</v>
      </c>
      <c r="H39" t="b">
        <f t="shared" si="4"/>
        <v>1</v>
      </c>
      <c r="I39" s="8">
        <v>38</v>
      </c>
      <c r="J39" s="12" t="s">
        <v>37</v>
      </c>
      <c r="K39" s="10">
        <v>0.93</v>
      </c>
      <c r="L39" s="11" t="s">
        <v>334</v>
      </c>
      <c r="M39" t="b">
        <f t="shared" si="5"/>
        <v>1</v>
      </c>
      <c r="O39">
        <f>-1.35-0.364</f>
        <v>-1.714</v>
      </c>
    </row>
    <row r="40" spans="1:15" x14ac:dyDescent="0.3">
      <c r="A40" t="s">
        <v>37</v>
      </c>
      <c r="B40" t="s">
        <v>60</v>
      </c>
      <c r="C40">
        <f t="shared" si="6"/>
        <v>172</v>
      </c>
      <c r="D40">
        <v>7.0000000000000007E-2</v>
      </c>
      <c r="E40" t="str">
        <f t="shared" si="1"/>
        <v>D</v>
      </c>
      <c r="F40" t="b">
        <f t="shared" si="2"/>
        <v>0</v>
      </c>
      <c r="G40" t="str">
        <f t="shared" si="3"/>
        <v>W</v>
      </c>
      <c r="H40" t="b">
        <f t="shared" si="4"/>
        <v>1</v>
      </c>
      <c r="I40" s="8">
        <v>39</v>
      </c>
      <c r="J40" s="12" t="s">
        <v>37</v>
      </c>
      <c r="K40" s="10">
        <v>0.95</v>
      </c>
      <c r="L40" s="11" t="s">
        <v>335</v>
      </c>
      <c r="M40" t="b">
        <f t="shared" si="5"/>
        <v>1</v>
      </c>
      <c r="O40">
        <f>0.07-0.364</f>
        <v>-0.29399999999999998</v>
      </c>
    </row>
    <row r="41" spans="1:15" x14ac:dyDescent="0.3">
      <c r="A41" t="s">
        <v>37</v>
      </c>
      <c r="B41" t="s">
        <v>52</v>
      </c>
      <c r="C41">
        <f t="shared" si="6"/>
        <v>113</v>
      </c>
      <c r="D41">
        <v>-0.59</v>
      </c>
      <c r="E41" t="str">
        <f t="shared" si="1"/>
        <v>W</v>
      </c>
      <c r="F41" t="b">
        <f t="shared" si="2"/>
        <v>1</v>
      </c>
      <c r="G41" t="str">
        <f t="shared" si="3"/>
        <v>W</v>
      </c>
      <c r="H41" t="b">
        <f t="shared" si="4"/>
        <v>1</v>
      </c>
      <c r="I41" s="8">
        <v>40</v>
      </c>
      <c r="J41" s="12" t="s">
        <v>37</v>
      </c>
      <c r="K41" s="10">
        <v>0.94</v>
      </c>
      <c r="L41" s="11" t="s">
        <v>336</v>
      </c>
      <c r="M41" t="b">
        <f t="shared" si="5"/>
        <v>1</v>
      </c>
      <c r="O41">
        <f>-0.59-0.364</f>
        <v>-0.95399999999999996</v>
      </c>
    </row>
    <row r="42" spans="1:15" x14ac:dyDescent="0.3">
      <c r="A42" t="s">
        <v>37</v>
      </c>
      <c r="B42" t="s">
        <v>39</v>
      </c>
      <c r="C42">
        <f t="shared" si="6"/>
        <v>182</v>
      </c>
      <c r="D42">
        <v>-1.54</v>
      </c>
      <c r="E42" t="str">
        <f t="shared" si="1"/>
        <v>W</v>
      </c>
      <c r="F42" t="b">
        <f t="shared" si="2"/>
        <v>1</v>
      </c>
      <c r="G42" t="str">
        <f t="shared" si="3"/>
        <v>W</v>
      </c>
      <c r="H42" t="b">
        <f t="shared" si="4"/>
        <v>1</v>
      </c>
      <c r="I42" s="8">
        <v>41</v>
      </c>
      <c r="J42" s="12" t="s">
        <v>37</v>
      </c>
      <c r="K42" s="10">
        <v>0.95</v>
      </c>
      <c r="L42" s="11" t="s">
        <v>337</v>
      </c>
      <c r="M42" t="b">
        <f t="shared" si="5"/>
        <v>1</v>
      </c>
      <c r="O42">
        <f>-1.54-0.364</f>
        <v>-1.9039999999999999</v>
      </c>
    </row>
    <row r="43" spans="1:15" ht="15.6" x14ac:dyDescent="0.3">
      <c r="A43" t="s">
        <v>35</v>
      </c>
      <c r="B43" s="1" t="s">
        <v>13</v>
      </c>
      <c r="C43">
        <f t="shared" si="6"/>
        <v>81</v>
      </c>
      <c r="D43">
        <v>0.93</v>
      </c>
      <c r="E43" t="str">
        <f t="shared" si="1"/>
        <v>D</v>
      </c>
      <c r="F43" t="b">
        <f t="shared" si="2"/>
        <v>1</v>
      </c>
      <c r="G43" t="str">
        <f t="shared" si="3"/>
        <v>D</v>
      </c>
      <c r="H43" t="b">
        <f t="shared" si="4"/>
        <v>1</v>
      </c>
      <c r="I43" s="8">
        <v>42</v>
      </c>
      <c r="J43" s="9" t="s">
        <v>35</v>
      </c>
      <c r="K43" s="10">
        <v>0.82</v>
      </c>
      <c r="L43" s="11" t="s">
        <v>338</v>
      </c>
      <c r="M43" t="b">
        <f t="shared" si="5"/>
        <v>1</v>
      </c>
      <c r="O43">
        <f>0.93-0.364</f>
        <v>0.56600000000000006</v>
      </c>
    </row>
    <row r="44" spans="1:15" x14ac:dyDescent="0.3">
      <c r="A44" t="s">
        <v>37</v>
      </c>
      <c r="B44" t="s">
        <v>47</v>
      </c>
      <c r="C44">
        <f t="shared" si="6"/>
        <v>52</v>
      </c>
      <c r="D44">
        <v>-1.3</v>
      </c>
      <c r="E44" t="str">
        <f t="shared" si="1"/>
        <v>W</v>
      </c>
      <c r="F44" t="b">
        <f t="shared" si="2"/>
        <v>1</v>
      </c>
      <c r="G44" t="str">
        <f t="shared" si="3"/>
        <v>W</v>
      </c>
      <c r="H44" t="b">
        <f t="shared" si="4"/>
        <v>1</v>
      </c>
      <c r="I44" s="8">
        <v>43</v>
      </c>
      <c r="J44" s="12" t="s">
        <v>37</v>
      </c>
      <c r="K44" s="10">
        <v>0.95</v>
      </c>
      <c r="L44" s="11" t="s">
        <v>339</v>
      </c>
      <c r="M44" t="b">
        <f t="shared" si="5"/>
        <v>1</v>
      </c>
      <c r="O44">
        <f>-1.3-0.364</f>
        <v>-1.6640000000000001</v>
      </c>
    </row>
    <row r="45" spans="1:15" x14ac:dyDescent="0.3">
      <c r="A45" t="s">
        <v>37</v>
      </c>
      <c r="B45" t="s">
        <v>64</v>
      </c>
      <c r="C45">
        <f t="shared" si="6"/>
        <v>50</v>
      </c>
      <c r="D45">
        <v>0.23</v>
      </c>
      <c r="E45" t="str">
        <f t="shared" si="1"/>
        <v>D</v>
      </c>
      <c r="F45" t="b">
        <f t="shared" si="2"/>
        <v>0</v>
      </c>
      <c r="G45" t="str">
        <f t="shared" si="3"/>
        <v>W</v>
      </c>
      <c r="H45" t="b">
        <f t="shared" si="4"/>
        <v>1</v>
      </c>
      <c r="I45" s="8">
        <v>44</v>
      </c>
      <c r="J45" s="12" t="s">
        <v>37</v>
      </c>
      <c r="K45" s="10">
        <v>0.93</v>
      </c>
      <c r="L45" s="11" t="s">
        <v>340</v>
      </c>
      <c r="M45" t="b">
        <f t="shared" si="5"/>
        <v>1</v>
      </c>
      <c r="O45">
        <f>0.23-0.364</f>
        <v>-0.13399999999999998</v>
      </c>
    </row>
    <row r="46" spans="1:15" ht="15.6" x14ac:dyDescent="0.3">
      <c r="A46" t="s">
        <v>35</v>
      </c>
      <c r="B46" s="1" t="s">
        <v>26</v>
      </c>
      <c r="C46">
        <f t="shared" si="6"/>
        <v>79</v>
      </c>
      <c r="D46">
        <v>1.2</v>
      </c>
      <c r="E46" t="str">
        <f t="shared" si="1"/>
        <v>D</v>
      </c>
      <c r="F46" t="b">
        <f t="shared" si="2"/>
        <v>1</v>
      </c>
      <c r="G46" t="str">
        <f t="shared" si="3"/>
        <v>D</v>
      </c>
      <c r="H46" t="b">
        <f t="shared" si="4"/>
        <v>1</v>
      </c>
      <c r="I46" s="8">
        <v>45</v>
      </c>
      <c r="J46" s="9" t="s">
        <v>35</v>
      </c>
      <c r="K46" s="10">
        <v>0.86</v>
      </c>
      <c r="L46" s="11" t="s">
        <v>341</v>
      </c>
      <c r="M46" t="b">
        <f t="shared" si="5"/>
        <v>1</v>
      </c>
      <c r="O46">
        <f>1.2-0.364</f>
        <v>0.83599999999999997</v>
      </c>
    </row>
    <row r="47" spans="1:15" x14ac:dyDescent="0.3">
      <c r="A47" t="s">
        <v>37</v>
      </c>
      <c r="B47" t="s">
        <v>40</v>
      </c>
      <c r="C47">
        <f t="shared" si="6"/>
        <v>65</v>
      </c>
      <c r="D47">
        <v>-1.43</v>
      </c>
      <c r="E47" t="str">
        <f t="shared" si="1"/>
        <v>W</v>
      </c>
      <c r="F47" t="b">
        <f t="shared" si="2"/>
        <v>1</v>
      </c>
      <c r="G47" t="str">
        <f t="shared" si="3"/>
        <v>W</v>
      </c>
      <c r="H47" t="b">
        <f t="shared" si="4"/>
        <v>1</v>
      </c>
      <c r="I47" s="8">
        <v>46</v>
      </c>
      <c r="J47" s="12" t="s">
        <v>37</v>
      </c>
      <c r="K47" s="10">
        <v>0.9</v>
      </c>
      <c r="L47" s="11" t="s">
        <v>342</v>
      </c>
      <c r="M47" t="b">
        <f t="shared" si="5"/>
        <v>1</v>
      </c>
      <c r="O47">
        <f>-1.43-0.364</f>
        <v>-1.794</v>
      </c>
    </row>
    <row r="48" spans="1:15" ht="15.6" x14ac:dyDescent="0.3">
      <c r="A48" t="s">
        <v>35</v>
      </c>
      <c r="B48" s="2" t="s">
        <v>24</v>
      </c>
      <c r="C48">
        <f t="shared" si="6"/>
        <v>211</v>
      </c>
      <c r="D48">
        <v>2.95</v>
      </c>
      <c r="E48" t="str">
        <f t="shared" si="1"/>
        <v>D</v>
      </c>
      <c r="F48" t="b">
        <f t="shared" si="2"/>
        <v>1</v>
      </c>
      <c r="G48" t="str">
        <f t="shared" si="3"/>
        <v>D</v>
      </c>
      <c r="H48" t="b">
        <f t="shared" si="4"/>
        <v>1</v>
      </c>
      <c r="I48" s="8">
        <v>47</v>
      </c>
      <c r="J48" s="9" t="s">
        <v>35</v>
      </c>
      <c r="K48" s="10">
        <v>0.93</v>
      </c>
      <c r="L48" s="11" t="s">
        <v>380</v>
      </c>
      <c r="M48" t="b">
        <f t="shared" si="5"/>
        <v>1</v>
      </c>
      <c r="O48">
        <f>2.95-0.364</f>
        <v>2.5860000000000003</v>
      </c>
    </row>
    <row r="49" spans="1:15" ht="15.6" x14ac:dyDescent="0.3">
      <c r="A49" t="s">
        <v>35</v>
      </c>
      <c r="B49" s="1" t="s">
        <v>31</v>
      </c>
      <c r="C49">
        <f t="shared" si="6"/>
        <v>57</v>
      </c>
      <c r="D49">
        <v>1.45</v>
      </c>
      <c r="E49" t="str">
        <f t="shared" si="1"/>
        <v>D</v>
      </c>
      <c r="F49" t="b">
        <f t="shared" si="2"/>
        <v>1</v>
      </c>
      <c r="G49" t="str">
        <f t="shared" si="3"/>
        <v>D</v>
      </c>
      <c r="H49" t="b">
        <f t="shared" si="4"/>
        <v>1</v>
      </c>
      <c r="I49" s="8">
        <v>48</v>
      </c>
      <c r="J49" s="9" t="s">
        <v>35</v>
      </c>
      <c r="K49" s="10">
        <v>0.84</v>
      </c>
      <c r="L49" s="11" t="s">
        <v>343</v>
      </c>
      <c r="M49" t="b">
        <f t="shared" si="5"/>
        <v>1</v>
      </c>
      <c r="O49">
        <f>1.45-0.364</f>
        <v>1.0859999999999999</v>
      </c>
    </row>
    <row r="50" spans="1:15" x14ac:dyDescent="0.3">
      <c r="A50" t="s">
        <v>37</v>
      </c>
      <c r="B50" t="s">
        <v>55</v>
      </c>
      <c r="C50">
        <f t="shared" si="6"/>
        <v>154</v>
      </c>
      <c r="D50">
        <v>0.03</v>
      </c>
      <c r="E50" t="str">
        <f t="shared" si="1"/>
        <v>D</v>
      </c>
      <c r="F50" t="b">
        <f t="shared" si="2"/>
        <v>0</v>
      </c>
      <c r="G50" t="str">
        <f t="shared" si="3"/>
        <v>W</v>
      </c>
      <c r="H50" t="b">
        <f t="shared" si="4"/>
        <v>1</v>
      </c>
      <c r="I50" s="8">
        <v>49</v>
      </c>
      <c r="J50" s="12" t="s">
        <v>37</v>
      </c>
      <c r="K50" s="10">
        <v>0.93</v>
      </c>
      <c r="L50" s="11" t="s">
        <v>344</v>
      </c>
      <c r="M50" t="b">
        <f t="shared" si="5"/>
        <v>1</v>
      </c>
      <c r="O50">
        <f>0.03-0.364</f>
        <v>-0.33399999999999996</v>
      </c>
    </row>
    <row r="51" spans="1:15" x14ac:dyDescent="0.3">
      <c r="A51" t="s">
        <v>37</v>
      </c>
      <c r="B51" t="s">
        <v>54</v>
      </c>
      <c r="C51">
        <f t="shared" si="6"/>
        <v>65</v>
      </c>
      <c r="D51">
        <v>-1.41</v>
      </c>
      <c r="E51" t="str">
        <f t="shared" si="1"/>
        <v>W</v>
      </c>
      <c r="F51" t="b">
        <f t="shared" si="2"/>
        <v>1</v>
      </c>
      <c r="G51" t="str">
        <f t="shared" si="3"/>
        <v>W</v>
      </c>
      <c r="H51" t="b">
        <f t="shared" si="4"/>
        <v>1</v>
      </c>
      <c r="I51" s="8">
        <v>50</v>
      </c>
      <c r="J51" s="12" t="s">
        <v>37</v>
      </c>
      <c r="K51" s="10">
        <v>0.92</v>
      </c>
      <c r="L51" s="11" t="s">
        <v>345</v>
      </c>
      <c r="M51" t="b">
        <f t="shared" si="5"/>
        <v>1</v>
      </c>
      <c r="O51">
        <f>-1.41-0.364</f>
        <v>-1.774</v>
      </c>
    </row>
    <row r="52" spans="1:15" x14ac:dyDescent="0.3">
      <c r="A52" t="s">
        <v>37</v>
      </c>
      <c r="B52" t="s">
        <v>63</v>
      </c>
      <c r="C52">
        <f t="shared" si="6"/>
        <v>169</v>
      </c>
      <c r="D52">
        <v>-0.41</v>
      </c>
      <c r="E52" t="str">
        <f t="shared" si="1"/>
        <v>W</v>
      </c>
      <c r="F52" t="b">
        <f t="shared" si="2"/>
        <v>1</v>
      </c>
      <c r="G52" t="str">
        <f t="shared" si="3"/>
        <v>W</v>
      </c>
      <c r="H52" t="b">
        <f t="shared" si="4"/>
        <v>1</v>
      </c>
      <c r="I52" s="8">
        <v>51</v>
      </c>
      <c r="J52" s="12" t="s">
        <v>37</v>
      </c>
      <c r="K52" s="10">
        <v>0.95</v>
      </c>
      <c r="L52" s="11" t="s">
        <v>346</v>
      </c>
      <c r="M52" t="b">
        <f t="shared" si="5"/>
        <v>1</v>
      </c>
      <c r="O52">
        <f>-0.41-0.364</f>
        <v>-0.77400000000000002</v>
      </c>
    </row>
    <row r="53" spans="1:15" ht="15.6" x14ac:dyDescent="0.3">
      <c r="A53" t="s">
        <v>35</v>
      </c>
      <c r="B53" s="1" t="s">
        <v>23</v>
      </c>
      <c r="C53">
        <f t="shared" si="6"/>
        <v>25</v>
      </c>
      <c r="D53">
        <v>2.15</v>
      </c>
      <c r="E53" t="str">
        <f t="shared" si="1"/>
        <v>D</v>
      </c>
      <c r="F53" t="b">
        <f t="shared" si="2"/>
        <v>1</v>
      </c>
      <c r="G53" t="str">
        <f t="shared" si="3"/>
        <v>D</v>
      </c>
      <c r="H53" t="b">
        <f t="shared" si="4"/>
        <v>1</v>
      </c>
      <c r="I53" s="8">
        <v>52</v>
      </c>
      <c r="J53" s="9" t="s">
        <v>35</v>
      </c>
      <c r="K53" s="10">
        <v>0.78</v>
      </c>
      <c r="L53" s="11" t="s">
        <v>347</v>
      </c>
      <c r="M53" t="b">
        <f t="shared" si="5"/>
        <v>1</v>
      </c>
      <c r="O53">
        <f>2.15-0.364</f>
        <v>1.786</v>
      </c>
    </row>
    <row r="54" spans="1:15" ht="15.6" x14ac:dyDescent="0.3">
      <c r="A54" t="s">
        <v>35</v>
      </c>
      <c r="B54" s="1" t="s">
        <v>27</v>
      </c>
      <c r="C54">
        <f t="shared" si="6"/>
        <v>203</v>
      </c>
      <c r="D54">
        <v>2.89</v>
      </c>
      <c r="E54" t="str">
        <f t="shared" si="1"/>
        <v>D</v>
      </c>
      <c r="F54" t="b">
        <f t="shared" si="2"/>
        <v>1</v>
      </c>
      <c r="G54" t="str">
        <f t="shared" si="3"/>
        <v>D</v>
      </c>
      <c r="H54" t="b">
        <f t="shared" si="4"/>
        <v>1</v>
      </c>
      <c r="I54" s="8">
        <v>53</v>
      </c>
      <c r="J54" s="9" t="s">
        <v>35</v>
      </c>
      <c r="K54" s="10">
        <v>0.88</v>
      </c>
      <c r="L54" s="11" t="s">
        <v>348</v>
      </c>
      <c r="M54" t="b">
        <f t="shared" si="5"/>
        <v>1</v>
      </c>
      <c r="O54">
        <f>2.89-0.364</f>
        <v>2.5260000000000002</v>
      </c>
    </row>
    <row r="55" spans="1:15" ht="15.6" x14ac:dyDescent="0.3">
      <c r="A55" t="s">
        <v>35</v>
      </c>
      <c r="B55" s="1" t="s">
        <v>28</v>
      </c>
      <c r="C55">
        <f t="shared" si="6"/>
        <v>232</v>
      </c>
      <c r="D55">
        <v>2.21</v>
      </c>
      <c r="E55" t="str">
        <f t="shared" si="1"/>
        <v>D</v>
      </c>
      <c r="F55" t="b">
        <f t="shared" si="2"/>
        <v>1</v>
      </c>
      <c r="G55" t="str">
        <f t="shared" si="3"/>
        <v>D</v>
      </c>
      <c r="H55" t="b">
        <f t="shared" si="4"/>
        <v>1</v>
      </c>
      <c r="I55" s="8">
        <v>54</v>
      </c>
      <c r="J55" s="9" t="s">
        <v>35</v>
      </c>
      <c r="K55" s="10">
        <v>0.82</v>
      </c>
      <c r="L55" s="11" t="s">
        <v>349</v>
      </c>
      <c r="M55" t="b">
        <f t="shared" si="5"/>
        <v>1</v>
      </c>
      <c r="O55">
        <f>2.21-0.364</f>
        <v>1.8460000000000001</v>
      </c>
    </row>
    <row r="56" spans="1:15" ht="15.6" x14ac:dyDescent="0.3">
      <c r="A56" t="s">
        <v>35</v>
      </c>
      <c r="B56" s="1" t="s">
        <v>11</v>
      </c>
      <c r="C56">
        <f t="shared" si="6"/>
        <v>37</v>
      </c>
      <c r="D56">
        <v>3.06</v>
      </c>
      <c r="E56" t="str">
        <f t="shared" si="1"/>
        <v>D</v>
      </c>
      <c r="F56" t="b">
        <f t="shared" si="2"/>
        <v>1</v>
      </c>
      <c r="G56" t="str">
        <f t="shared" si="3"/>
        <v>D</v>
      </c>
      <c r="H56" t="b">
        <f t="shared" si="4"/>
        <v>1</v>
      </c>
      <c r="I56" s="8">
        <v>55</v>
      </c>
      <c r="J56" s="9" t="s">
        <v>35</v>
      </c>
      <c r="K56" s="10">
        <v>0.84</v>
      </c>
      <c r="L56" s="11" t="s">
        <v>350</v>
      </c>
      <c r="M56" t="b">
        <f t="shared" si="5"/>
        <v>1</v>
      </c>
      <c r="O56">
        <f>3.06-0.364</f>
        <v>2.6960000000000002</v>
      </c>
    </row>
    <row r="57" spans="1:15" ht="15.6" x14ac:dyDescent="0.3">
      <c r="A57" t="s">
        <v>35</v>
      </c>
      <c r="B57" s="1" t="s">
        <v>10</v>
      </c>
      <c r="C57">
        <f t="shared" si="6"/>
        <v>163</v>
      </c>
      <c r="D57">
        <v>3.33</v>
      </c>
      <c r="E57" t="str">
        <f t="shared" si="1"/>
        <v>D</v>
      </c>
      <c r="F57" t="b">
        <f t="shared" si="2"/>
        <v>1</v>
      </c>
      <c r="G57" t="str">
        <f t="shared" si="3"/>
        <v>D</v>
      </c>
      <c r="H57" t="b">
        <f t="shared" si="4"/>
        <v>1</v>
      </c>
      <c r="I57" s="8">
        <v>56</v>
      </c>
      <c r="J57" s="9" t="s">
        <v>35</v>
      </c>
      <c r="K57" s="10">
        <v>0.88</v>
      </c>
      <c r="L57" s="11" t="s">
        <v>351</v>
      </c>
      <c r="M57" t="b">
        <f t="shared" si="5"/>
        <v>1</v>
      </c>
      <c r="O57">
        <f>3.33-0.364</f>
        <v>2.9660000000000002</v>
      </c>
    </row>
    <row r="58" spans="1:15" x14ac:dyDescent="0.3">
      <c r="A58" t="s">
        <v>37</v>
      </c>
      <c r="B58" t="s">
        <v>53</v>
      </c>
      <c r="C58">
        <f t="shared" si="6"/>
        <v>110</v>
      </c>
      <c r="D58">
        <v>-0.27</v>
      </c>
      <c r="E58" t="str">
        <f t="shared" si="1"/>
        <v>W</v>
      </c>
      <c r="F58" t="b">
        <f t="shared" si="2"/>
        <v>1</v>
      </c>
      <c r="G58" t="str">
        <f t="shared" si="3"/>
        <v>W</v>
      </c>
      <c r="H58" t="b">
        <f t="shared" si="4"/>
        <v>1</v>
      </c>
      <c r="I58" s="8">
        <v>57</v>
      </c>
      <c r="J58" s="12" t="s">
        <v>37</v>
      </c>
      <c r="K58" s="10">
        <v>0.94</v>
      </c>
      <c r="L58" s="11" t="s">
        <v>352</v>
      </c>
      <c r="M58" t="b">
        <f t="shared" si="5"/>
        <v>1</v>
      </c>
      <c r="O58">
        <f>-0.27-0.364</f>
        <v>-0.63400000000000001</v>
      </c>
    </row>
    <row r="59" spans="1:15" x14ac:dyDescent="0.3">
      <c r="A59" t="s">
        <v>37</v>
      </c>
      <c r="B59" t="s">
        <v>68</v>
      </c>
      <c r="C59">
        <f t="shared" si="6"/>
        <v>155</v>
      </c>
      <c r="D59">
        <v>0.09</v>
      </c>
      <c r="E59" t="str">
        <f t="shared" si="1"/>
        <v>D</v>
      </c>
      <c r="F59" t="b">
        <f t="shared" si="2"/>
        <v>0</v>
      </c>
      <c r="G59" t="str">
        <f t="shared" si="3"/>
        <v>W</v>
      </c>
      <c r="H59" t="b">
        <f t="shared" si="4"/>
        <v>1</v>
      </c>
      <c r="I59" s="8">
        <v>58</v>
      </c>
      <c r="J59" s="12" t="s">
        <v>37</v>
      </c>
      <c r="K59" s="10">
        <v>0.93</v>
      </c>
      <c r="L59" s="11" t="s">
        <v>353</v>
      </c>
      <c r="M59" t="b">
        <f t="shared" si="5"/>
        <v>1</v>
      </c>
      <c r="O59">
        <f>0.09-0.364</f>
        <v>-0.27400000000000002</v>
      </c>
    </row>
    <row r="60" spans="1:15" ht="15.6" x14ac:dyDescent="0.3">
      <c r="A60" t="s">
        <v>35</v>
      </c>
      <c r="B60" s="1" t="s">
        <v>3</v>
      </c>
      <c r="C60">
        <f t="shared" si="6"/>
        <v>117</v>
      </c>
      <c r="D60">
        <v>1.55</v>
      </c>
      <c r="E60" t="str">
        <f t="shared" si="1"/>
        <v>D</v>
      </c>
      <c r="F60" t="b">
        <f t="shared" si="2"/>
        <v>1</v>
      </c>
      <c r="G60" t="str">
        <f t="shared" si="3"/>
        <v>D</v>
      </c>
      <c r="H60" t="b">
        <f t="shared" si="4"/>
        <v>1</v>
      </c>
      <c r="I60" s="8">
        <v>59</v>
      </c>
      <c r="J60" s="9" t="s">
        <v>35</v>
      </c>
      <c r="K60" s="10">
        <v>0.82</v>
      </c>
      <c r="L60" s="11" t="s">
        <v>354</v>
      </c>
      <c r="M60" t="b">
        <f t="shared" si="5"/>
        <v>1</v>
      </c>
      <c r="O60">
        <f>1.55-0.364</f>
        <v>1.1859999999999999</v>
      </c>
    </row>
    <row r="61" spans="1:15" ht="15.6" x14ac:dyDescent="0.3">
      <c r="A61" t="s">
        <v>35</v>
      </c>
      <c r="B61" s="1" t="s">
        <v>34</v>
      </c>
      <c r="C61">
        <f t="shared" si="6"/>
        <v>16</v>
      </c>
      <c r="D61">
        <v>0.86</v>
      </c>
      <c r="E61" t="str">
        <f t="shared" si="1"/>
        <v>D</v>
      </c>
      <c r="F61" t="b">
        <f t="shared" si="2"/>
        <v>1</v>
      </c>
      <c r="G61" t="str">
        <f t="shared" si="3"/>
        <v>D</v>
      </c>
      <c r="H61" t="b">
        <f t="shared" si="4"/>
        <v>1</v>
      </c>
      <c r="I61" s="8">
        <v>60</v>
      </c>
      <c r="J61" s="9" t="s">
        <v>35</v>
      </c>
      <c r="K61" s="10">
        <v>0.72</v>
      </c>
      <c r="L61" s="11" t="s">
        <v>355</v>
      </c>
      <c r="M61" t="b">
        <f t="shared" si="5"/>
        <v>1</v>
      </c>
      <c r="O61">
        <f>0.86-0.364</f>
        <v>0.496</v>
      </c>
    </row>
    <row r="62" spans="1:15" ht="15.6" x14ac:dyDescent="0.3">
      <c r="A62" t="s">
        <v>35</v>
      </c>
      <c r="B62" s="1" t="s">
        <v>14</v>
      </c>
      <c r="C62">
        <f t="shared" si="6"/>
        <v>120</v>
      </c>
      <c r="D62">
        <v>2.67</v>
      </c>
      <c r="E62" t="str">
        <f t="shared" si="1"/>
        <v>D</v>
      </c>
      <c r="F62" t="b">
        <f t="shared" si="2"/>
        <v>1</v>
      </c>
      <c r="G62" t="str">
        <f t="shared" si="3"/>
        <v>D</v>
      </c>
      <c r="H62" t="b">
        <f t="shared" si="4"/>
        <v>1</v>
      </c>
      <c r="I62" s="8">
        <v>61</v>
      </c>
      <c r="J62" s="9" t="s">
        <v>35</v>
      </c>
      <c r="K62" s="10">
        <v>0.9</v>
      </c>
      <c r="L62" s="11" t="s">
        <v>356</v>
      </c>
      <c r="M62" t="b">
        <f t="shared" si="5"/>
        <v>1</v>
      </c>
      <c r="O62">
        <f>2.67-0.364</f>
        <v>2.306</v>
      </c>
    </row>
    <row r="63" spans="1:15" ht="15.6" x14ac:dyDescent="0.3">
      <c r="A63" t="s">
        <v>35</v>
      </c>
      <c r="B63" s="1" t="s">
        <v>15</v>
      </c>
      <c r="C63">
        <f t="shared" si="6"/>
        <v>225</v>
      </c>
      <c r="D63">
        <v>3.32</v>
      </c>
      <c r="E63" t="str">
        <f t="shared" si="1"/>
        <v>D</v>
      </c>
      <c r="F63" t="b">
        <f t="shared" si="2"/>
        <v>1</v>
      </c>
      <c r="G63" t="str">
        <f t="shared" si="3"/>
        <v>D</v>
      </c>
      <c r="H63" t="b">
        <f t="shared" si="4"/>
        <v>1</v>
      </c>
      <c r="I63" s="8">
        <v>62</v>
      </c>
      <c r="J63" s="9" t="s">
        <v>35</v>
      </c>
      <c r="K63" s="10">
        <v>0.91</v>
      </c>
      <c r="L63" s="11" t="s">
        <v>357</v>
      </c>
      <c r="M63" t="b">
        <f t="shared" si="5"/>
        <v>1</v>
      </c>
      <c r="O63">
        <f>3.32-0.364</f>
        <v>2.956</v>
      </c>
    </row>
    <row r="64" spans="1:15" ht="15.6" x14ac:dyDescent="0.3">
      <c r="A64" t="s">
        <v>35</v>
      </c>
      <c r="B64" s="1" t="s">
        <v>5</v>
      </c>
      <c r="C64">
        <f t="shared" si="6"/>
        <v>40</v>
      </c>
      <c r="D64">
        <v>1.49</v>
      </c>
      <c r="E64" t="str">
        <f t="shared" si="1"/>
        <v>D</v>
      </c>
      <c r="F64" t="b">
        <f t="shared" si="2"/>
        <v>1</v>
      </c>
      <c r="G64" t="str">
        <f t="shared" si="3"/>
        <v>D</v>
      </c>
      <c r="H64" t="b">
        <f t="shared" si="4"/>
        <v>1</v>
      </c>
      <c r="I64" s="8">
        <v>63</v>
      </c>
      <c r="J64" s="9" t="s">
        <v>35</v>
      </c>
      <c r="K64" s="10">
        <v>0.92</v>
      </c>
      <c r="L64" s="11" t="s">
        <v>358</v>
      </c>
      <c r="M64" t="b">
        <f t="shared" si="5"/>
        <v>1</v>
      </c>
      <c r="O64">
        <f>1.49-0.364</f>
        <v>1.1259999999999999</v>
      </c>
    </row>
    <row r="65" spans="1:15" ht="15.6" x14ac:dyDescent="0.3">
      <c r="A65" t="s">
        <v>35</v>
      </c>
      <c r="B65" s="1" t="s">
        <v>9</v>
      </c>
      <c r="C65">
        <f t="shared" si="6"/>
        <v>104</v>
      </c>
      <c r="D65">
        <v>2.9</v>
      </c>
      <c r="E65" t="str">
        <f t="shared" si="1"/>
        <v>D</v>
      </c>
      <c r="F65" t="b">
        <f t="shared" si="2"/>
        <v>1</v>
      </c>
      <c r="G65" t="str">
        <f t="shared" si="3"/>
        <v>D</v>
      </c>
      <c r="H65" t="b">
        <f t="shared" si="4"/>
        <v>1</v>
      </c>
      <c r="I65" s="8">
        <v>64</v>
      </c>
      <c r="J65" s="9" t="s">
        <v>35</v>
      </c>
      <c r="K65" s="10">
        <v>0.86</v>
      </c>
      <c r="L65" s="11" t="s">
        <v>359</v>
      </c>
      <c r="M65" t="b">
        <f t="shared" si="5"/>
        <v>1</v>
      </c>
      <c r="O65">
        <f>2.9-0.364</f>
        <v>2.536</v>
      </c>
    </row>
    <row r="66" spans="1:15" x14ac:dyDescent="0.3">
      <c r="A66" t="s">
        <v>35</v>
      </c>
      <c r="B66" t="s">
        <v>273</v>
      </c>
      <c r="D66">
        <v>1.1200000000000001</v>
      </c>
      <c r="E66" t="str">
        <f t="shared" si="1"/>
        <v>D</v>
      </c>
      <c r="F66" t="b">
        <f t="shared" si="2"/>
        <v>1</v>
      </c>
      <c r="G66" t="str">
        <f t="shared" si="3"/>
        <v>D</v>
      </c>
      <c r="H66" t="b">
        <f t="shared" si="4"/>
        <v>1</v>
      </c>
      <c r="I66" s="8">
        <v>65</v>
      </c>
      <c r="J66" s="9" t="s">
        <v>35</v>
      </c>
      <c r="K66" s="10">
        <v>0.75</v>
      </c>
      <c r="L66" s="11" t="s">
        <v>360</v>
      </c>
      <c r="M66" t="b">
        <f t="shared" si="5"/>
        <v>1</v>
      </c>
      <c r="O66">
        <f>1.12-0.364</f>
        <v>0.75600000000000012</v>
      </c>
    </row>
    <row r="67" spans="1:15" x14ac:dyDescent="0.3">
      <c r="A67" t="s">
        <v>35</v>
      </c>
      <c r="B67" t="s">
        <v>274</v>
      </c>
      <c r="D67">
        <v>2.4300000000000002</v>
      </c>
      <c r="E67" t="str">
        <f t="shared" ref="E67:E85" si="7">IF(D67&gt;0,"D",IF(D67&lt;0,"W",""))</f>
        <v>D</v>
      </c>
      <c r="F67" t="b">
        <f t="shared" ref="F67:F85" si="8">A67=E67</f>
        <v>1</v>
      </c>
      <c r="G67" t="str">
        <f t="shared" ref="G67:G85" si="9">IF(D67&gt;0.364,"D",IF(D67&lt;0.364,"W",""))</f>
        <v>D</v>
      </c>
      <c r="H67" t="b">
        <f t="shared" ref="H67:H85" si="10">A67=G67</f>
        <v>1</v>
      </c>
      <c r="I67" s="8">
        <v>66</v>
      </c>
      <c r="J67" s="9" t="s">
        <v>35</v>
      </c>
      <c r="K67" s="10">
        <v>0.88</v>
      </c>
      <c r="L67" s="11" t="s">
        <v>361</v>
      </c>
      <c r="M67" t="b">
        <f t="shared" ref="M67:M85" si="11">A67=J67</f>
        <v>1</v>
      </c>
      <c r="O67">
        <f>2.43-0.364</f>
        <v>2.0660000000000003</v>
      </c>
    </row>
    <row r="68" spans="1:15" x14ac:dyDescent="0.3">
      <c r="A68" t="s">
        <v>35</v>
      </c>
      <c r="B68" t="s">
        <v>275</v>
      </c>
      <c r="D68">
        <v>1.56</v>
      </c>
      <c r="E68" t="str">
        <f t="shared" si="7"/>
        <v>D</v>
      </c>
      <c r="F68" t="b">
        <f t="shared" si="8"/>
        <v>1</v>
      </c>
      <c r="G68" t="str">
        <f t="shared" si="9"/>
        <v>D</v>
      </c>
      <c r="H68" t="b">
        <f t="shared" si="10"/>
        <v>1</v>
      </c>
      <c r="I68" s="8">
        <v>67</v>
      </c>
      <c r="J68" s="9" t="s">
        <v>35</v>
      </c>
      <c r="K68" s="10">
        <v>0.8</v>
      </c>
      <c r="L68" s="11" t="s">
        <v>362</v>
      </c>
      <c r="M68" t="b">
        <f t="shared" si="11"/>
        <v>1</v>
      </c>
      <c r="O68">
        <f>1.56-0.364</f>
        <v>1.1960000000000002</v>
      </c>
    </row>
    <row r="69" spans="1:15" x14ac:dyDescent="0.3">
      <c r="A69" t="s">
        <v>35</v>
      </c>
      <c r="B69" t="s">
        <v>276</v>
      </c>
      <c r="D69">
        <v>1.48</v>
      </c>
      <c r="E69" t="str">
        <f t="shared" si="7"/>
        <v>D</v>
      </c>
      <c r="F69" t="b">
        <f t="shared" si="8"/>
        <v>1</v>
      </c>
      <c r="G69" t="str">
        <f t="shared" si="9"/>
        <v>D</v>
      </c>
      <c r="H69" t="b">
        <f t="shared" si="10"/>
        <v>1</v>
      </c>
      <c r="I69" s="8">
        <v>68</v>
      </c>
      <c r="J69" s="9" t="s">
        <v>35</v>
      </c>
      <c r="K69" s="10">
        <v>0.76</v>
      </c>
      <c r="L69" s="11" t="s">
        <v>363</v>
      </c>
      <c r="M69" t="b">
        <f t="shared" si="11"/>
        <v>1</v>
      </c>
      <c r="O69">
        <f>1.48-0.364</f>
        <v>1.1160000000000001</v>
      </c>
    </row>
    <row r="70" spans="1:15" x14ac:dyDescent="0.3">
      <c r="A70" t="s">
        <v>35</v>
      </c>
      <c r="B70" t="s">
        <v>277</v>
      </c>
      <c r="D70">
        <v>0.83</v>
      </c>
      <c r="E70" t="str">
        <f t="shared" si="7"/>
        <v>D</v>
      </c>
      <c r="F70" t="b">
        <f t="shared" si="8"/>
        <v>1</v>
      </c>
      <c r="G70" t="str">
        <f t="shared" si="9"/>
        <v>D</v>
      </c>
      <c r="H70" t="b">
        <f t="shared" si="10"/>
        <v>1</v>
      </c>
      <c r="I70" s="8">
        <v>69</v>
      </c>
      <c r="J70" s="9" t="s">
        <v>35</v>
      </c>
      <c r="K70" s="10">
        <v>0.7</v>
      </c>
      <c r="L70" s="11" t="s">
        <v>364</v>
      </c>
      <c r="M70" t="b">
        <f t="shared" si="11"/>
        <v>1</v>
      </c>
      <c r="O70">
        <f>0.83-0.364</f>
        <v>0.46599999999999997</v>
      </c>
    </row>
    <row r="71" spans="1:15" x14ac:dyDescent="0.3">
      <c r="A71" t="s">
        <v>35</v>
      </c>
      <c r="B71" t="s">
        <v>278</v>
      </c>
      <c r="D71">
        <v>-0.21</v>
      </c>
      <c r="E71" t="str">
        <f t="shared" si="7"/>
        <v>W</v>
      </c>
      <c r="F71" t="b">
        <f t="shared" si="8"/>
        <v>0</v>
      </c>
      <c r="G71" t="str">
        <f t="shared" si="9"/>
        <v>W</v>
      </c>
      <c r="H71" t="b">
        <f t="shared" si="10"/>
        <v>0</v>
      </c>
      <c r="I71" s="8">
        <v>70</v>
      </c>
      <c r="J71" s="12" t="s">
        <v>37</v>
      </c>
      <c r="K71" s="10">
        <v>0.82</v>
      </c>
      <c r="L71" s="11" t="s">
        <v>365</v>
      </c>
      <c r="M71" t="b">
        <f t="shared" si="11"/>
        <v>0</v>
      </c>
      <c r="O71">
        <f>-0.21-0.364</f>
        <v>-0.57399999999999995</v>
      </c>
    </row>
    <row r="72" spans="1:15" x14ac:dyDescent="0.3">
      <c r="A72" t="s">
        <v>35</v>
      </c>
      <c r="B72" t="s">
        <v>279</v>
      </c>
      <c r="D72">
        <v>2.2200000000000002</v>
      </c>
      <c r="E72" t="str">
        <f t="shared" si="7"/>
        <v>D</v>
      </c>
      <c r="F72" t="b">
        <f t="shared" si="8"/>
        <v>1</v>
      </c>
      <c r="G72" t="str">
        <f t="shared" si="9"/>
        <v>D</v>
      </c>
      <c r="H72" t="b">
        <f t="shared" si="10"/>
        <v>1</v>
      </c>
      <c r="I72" s="8">
        <v>71</v>
      </c>
      <c r="J72" s="9" t="s">
        <v>35</v>
      </c>
      <c r="K72" s="10">
        <v>0.8</v>
      </c>
      <c r="L72" s="11" t="s">
        <v>366</v>
      </c>
      <c r="M72" t="b">
        <f t="shared" si="11"/>
        <v>1</v>
      </c>
      <c r="O72">
        <f>2.22-0.364</f>
        <v>1.8560000000000003</v>
      </c>
    </row>
    <row r="73" spans="1:15" x14ac:dyDescent="0.3">
      <c r="A73" t="s">
        <v>35</v>
      </c>
      <c r="B73" t="s">
        <v>280</v>
      </c>
      <c r="D73">
        <v>1.93</v>
      </c>
      <c r="E73" t="str">
        <f t="shared" si="7"/>
        <v>D</v>
      </c>
      <c r="F73" t="b">
        <f t="shared" si="8"/>
        <v>1</v>
      </c>
      <c r="G73" t="str">
        <f t="shared" si="9"/>
        <v>D</v>
      </c>
      <c r="H73" t="b">
        <f t="shared" si="10"/>
        <v>1</v>
      </c>
      <c r="I73" s="8">
        <v>72</v>
      </c>
      <c r="J73" s="9" t="s">
        <v>35</v>
      </c>
      <c r="K73" s="10">
        <v>0.82</v>
      </c>
      <c r="L73" s="11" t="s">
        <v>367</v>
      </c>
      <c r="M73" t="b">
        <f t="shared" si="11"/>
        <v>1</v>
      </c>
      <c r="O73">
        <f>1.93-0.364</f>
        <v>1.5659999999999998</v>
      </c>
    </row>
    <row r="74" spans="1:15" x14ac:dyDescent="0.3">
      <c r="A74" t="s">
        <v>35</v>
      </c>
      <c r="B74" t="s">
        <v>281</v>
      </c>
      <c r="D74">
        <v>1.53</v>
      </c>
      <c r="E74" t="str">
        <f t="shared" si="7"/>
        <v>D</v>
      </c>
      <c r="F74" t="b">
        <f t="shared" si="8"/>
        <v>1</v>
      </c>
      <c r="G74" t="str">
        <f t="shared" si="9"/>
        <v>D</v>
      </c>
      <c r="H74" t="b">
        <f t="shared" si="10"/>
        <v>1</v>
      </c>
      <c r="I74" s="8">
        <v>73</v>
      </c>
      <c r="J74" s="12" t="s">
        <v>37</v>
      </c>
      <c r="K74" s="10">
        <v>0.7</v>
      </c>
      <c r="L74" s="11" t="s">
        <v>368</v>
      </c>
      <c r="M74" t="b">
        <f t="shared" si="11"/>
        <v>0</v>
      </c>
      <c r="O74">
        <f>1.53-0.364</f>
        <v>1.1659999999999999</v>
      </c>
    </row>
    <row r="75" spans="1:15" x14ac:dyDescent="0.3">
      <c r="A75" t="s">
        <v>35</v>
      </c>
      <c r="B75" t="s">
        <v>282</v>
      </c>
      <c r="D75">
        <v>1.74</v>
      </c>
      <c r="E75" t="str">
        <f t="shared" si="7"/>
        <v>D</v>
      </c>
      <c r="F75" t="b">
        <f t="shared" si="8"/>
        <v>1</v>
      </c>
      <c r="G75" t="str">
        <f t="shared" si="9"/>
        <v>D</v>
      </c>
      <c r="H75" t="b">
        <f t="shared" si="10"/>
        <v>1</v>
      </c>
      <c r="I75" s="8">
        <v>74</v>
      </c>
      <c r="J75" s="9" t="s">
        <v>35</v>
      </c>
      <c r="K75" s="10">
        <v>0.8</v>
      </c>
      <c r="L75" s="11" t="s">
        <v>381</v>
      </c>
      <c r="M75" t="b">
        <f t="shared" si="11"/>
        <v>1</v>
      </c>
      <c r="O75">
        <f>1.74-0.364</f>
        <v>1.3759999999999999</v>
      </c>
    </row>
    <row r="76" spans="1:15" ht="18" x14ac:dyDescent="0.35">
      <c r="A76" t="s">
        <v>37</v>
      </c>
      <c r="B76" s="6" t="s">
        <v>283</v>
      </c>
      <c r="D76">
        <v>0.05</v>
      </c>
      <c r="E76" t="str">
        <f t="shared" si="7"/>
        <v>D</v>
      </c>
      <c r="F76" t="b">
        <f t="shared" si="8"/>
        <v>0</v>
      </c>
      <c r="G76" t="str">
        <f t="shared" si="9"/>
        <v>W</v>
      </c>
      <c r="H76" t="b">
        <f t="shared" si="10"/>
        <v>1</v>
      </c>
      <c r="I76" s="8">
        <v>75</v>
      </c>
      <c r="J76" s="12" t="s">
        <v>37</v>
      </c>
      <c r="K76" s="10">
        <v>0.97</v>
      </c>
      <c r="L76" s="11" t="s">
        <v>369</v>
      </c>
      <c r="M76" t="b">
        <f t="shared" si="11"/>
        <v>1</v>
      </c>
      <c r="O76">
        <f>0.05-0.364</f>
        <v>-0.314</v>
      </c>
    </row>
    <row r="77" spans="1:15" ht="18" x14ac:dyDescent="0.35">
      <c r="A77" t="s">
        <v>37</v>
      </c>
      <c r="B77" s="6" t="s">
        <v>284</v>
      </c>
      <c r="D77">
        <v>0.03</v>
      </c>
      <c r="E77" t="str">
        <f t="shared" si="7"/>
        <v>D</v>
      </c>
      <c r="F77" t="b">
        <f t="shared" si="8"/>
        <v>0</v>
      </c>
      <c r="G77" t="str">
        <f t="shared" si="9"/>
        <v>W</v>
      </c>
      <c r="H77" t="b">
        <f t="shared" si="10"/>
        <v>1</v>
      </c>
      <c r="I77" s="8">
        <v>76</v>
      </c>
      <c r="J77" s="12" t="s">
        <v>37</v>
      </c>
      <c r="K77" s="10">
        <v>0.97</v>
      </c>
      <c r="L77" s="11" t="s">
        <v>370</v>
      </c>
      <c r="M77" t="b">
        <f t="shared" si="11"/>
        <v>1</v>
      </c>
      <c r="O77">
        <f>0.03-0.364</f>
        <v>-0.33399999999999996</v>
      </c>
    </row>
    <row r="78" spans="1:15" ht="18" x14ac:dyDescent="0.35">
      <c r="A78" t="s">
        <v>37</v>
      </c>
      <c r="B78" s="6" t="s">
        <v>285</v>
      </c>
      <c r="D78">
        <v>0.32</v>
      </c>
      <c r="E78" t="str">
        <f t="shared" si="7"/>
        <v>D</v>
      </c>
      <c r="F78" t="b">
        <f t="shared" si="8"/>
        <v>0</v>
      </c>
      <c r="G78" t="str">
        <f t="shared" si="9"/>
        <v>W</v>
      </c>
      <c r="H78" t="b">
        <f t="shared" si="10"/>
        <v>1</v>
      </c>
      <c r="I78" s="8">
        <v>77</v>
      </c>
      <c r="J78" s="12" t="s">
        <v>37</v>
      </c>
      <c r="K78" s="10">
        <v>0.97</v>
      </c>
      <c r="L78" s="11" t="s">
        <v>371</v>
      </c>
      <c r="M78" t="b">
        <f t="shared" si="11"/>
        <v>1</v>
      </c>
      <c r="O78">
        <f>0.32-0.364</f>
        <v>-4.3999999999999984E-2</v>
      </c>
    </row>
    <row r="79" spans="1:15" ht="18" x14ac:dyDescent="0.35">
      <c r="A79" t="s">
        <v>37</v>
      </c>
      <c r="B79" s="6" t="s">
        <v>286</v>
      </c>
      <c r="D79">
        <v>-0.47</v>
      </c>
      <c r="E79" t="str">
        <f t="shared" si="7"/>
        <v>W</v>
      </c>
      <c r="F79" t="b">
        <f t="shared" si="8"/>
        <v>1</v>
      </c>
      <c r="G79" t="str">
        <f t="shared" si="9"/>
        <v>W</v>
      </c>
      <c r="H79" t="b">
        <f t="shared" si="10"/>
        <v>1</v>
      </c>
      <c r="I79" s="8">
        <v>78</v>
      </c>
      <c r="J79" s="12" t="s">
        <v>37</v>
      </c>
      <c r="K79" s="10">
        <v>0.97</v>
      </c>
      <c r="L79" s="11" t="s">
        <v>372</v>
      </c>
      <c r="M79" t="b">
        <f t="shared" si="11"/>
        <v>1</v>
      </c>
      <c r="O79">
        <f>-0.47-0.364</f>
        <v>-0.83399999999999996</v>
      </c>
    </row>
    <row r="80" spans="1:15" ht="18" x14ac:dyDescent="0.35">
      <c r="A80" t="s">
        <v>37</v>
      </c>
      <c r="B80" s="6" t="s">
        <v>287</v>
      </c>
      <c r="D80">
        <v>0.37</v>
      </c>
      <c r="E80" t="str">
        <f t="shared" si="7"/>
        <v>D</v>
      </c>
      <c r="F80" t="b">
        <f t="shared" si="8"/>
        <v>0</v>
      </c>
      <c r="G80" t="str">
        <f t="shared" si="9"/>
        <v>D</v>
      </c>
      <c r="H80" t="b">
        <f t="shared" si="10"/>
        <v>0</v>
      </c>
      <c r="I80" s="8">
        <v>79</v>
      </c>
      <c r="J80" s="12" t="s">
        <v>37</v>
      </c>
      <c r="K80" s="10">
        <v>0.96</v>
      </c>
      <c r="L80" s="11" t="s">
        <v>373</v>
      </c>
      <c r="M80" t="b">
        <f t="shared" si="11"/>
        <v>1</v>
      </c>
      <c r="O80">
        <f>0.37-0.364</f>
        <v>6.0000000000000053E-3</v>
      </c>
    </row>
    <row r="81" spans="1:15" ht="18" x14ac:dyDescent="0.35">
      <c r="A81" t="s">
        <v>37</v>
      </c>
      <c r="B81" s="6" t="s">
        <v>288</v>
      </c>
      <c r="D81">
        <v>-1.1399999999999999</v>
      </c>
      <c r="E81" t="str">
        <f t="shared" si="7"/>
        <v>W</v>
      </c>
      <c r="F81" t="b">
        <f t="shared" si="8"/>
        <v>1</v>
      </c>
      <c r="G81" t="str">
        <f t="shared" si="9"/>
        <v>W</v>
      </c>
      <c r="H81" t="b">
        <f t="shared" si="10"/>
        <v>1</v>
      </c>
      <c r="I81" s="8">
        <v>80</v>
      </c>
      <c r="J81" s="12" t="s">
        <v>37</v>
      </c>
      <c r="K81" s="10">
        <v>0.96</v>
      </c>
      <c r="L81" s="11" t="s">
        <v>374</v>
      </c>
      <c r="M81" t="b">
        <f t="shared" si="11"/>
        <v>1</v>
      </c>
      <c r="O81">
        <f>-1.14-0.364</f>
        <v>-1.504</v>
      </c>
    </row>
    <row r="82" spans="1:15" ht="18" x14ac:dyDescent="0.35">
      <c r="A82" t="s">
        <v>37</v>
      </c>
      <c r="B82" s="6" t="s">
        <v>289</v>
      </c>
      <c r="D82">
        <v>-2.64</v>
      </c>
      <c r="E82" t="str">
        <f t="shared" si="7"/>
        <v>W</v>
      </c>
      <c r="F82" t="b">
        <f t="shared" si="8"/>
        <v>1</v>
      </c>
      <c r="G82" t="str">
        <f t="shared" si="9"/>
        <v>W</v>
      </c>
      <c r="H82" t="b">
        <f t="shared" si="10"/>
        <v>1</v>
      </c>
      <c r="I82" s="8">
        <v>81</v>
      </c>
      <c r="J82" s="12" t="s">
        <v>37</v>
      </c>
      <c r="K82" s="10">
        <v>0.95</v>
      </c>
      <c r="L82" s="11" t="s">
        <v>375</v>
      </c>
      <c r="M82" t="b">
        <f t="shared" si="11"/>
        <v>1</v>
      </c>
      <c r="O82">
        <f>-2.64-0.364</f>
        <v>-3.004</v>
      </c>
    </row>
    <row r="83" spans="1:15" ht="18" x14ac:dyDescent="0.35">
      <c r="A83" t="s">
        <v>37</v>
      </c>
      <c r="B83" s="6" t="s">
        <v>290</v>
      </c>
      <c r="D83">
        <v>-1.59</v>
      </c>
      <c r="E83" t="str">
        <f t="shared" si="7"/>
        <v>W</v>
      </c>
      <c r="F83" t="b">
        <f t="shared" si="8"/>
        <v>1</v>
      </c>
      <c r="G83" t="str">
        <f t="shared" si="9"/>
        <v>W</v>
      </c>
      <c r="H83" t="b">
        <f t="shared" si="10"/>
        <v>1</v>
      </c>
      <c r="I83" s="8">
        <v>82</v>
      </c>
      <c r="J83" s="12" t="s">
        <v>37</v>
      </c>
      <c r="K83" s="10">
        <v>0.94</v>
      </c>
      <c r="L83" s="11" t="s">
        <v>376</v>
      </c>
      <c r="M83" t="b">
        <f t="shared" si="11"/>
        <v>1</v>
      </c>
      <c r="O83">
        <f>-1.59-0.364</f>
        <v>-1.9540000000000002</v>
      </c>
    </row>
    <row r="84" spans="1:15" ht="18" x14ac:dyDescent="0.35">
      <c r="A84" t="s">
        <v>37</v>
      </c>
      <c r="B84" s="6" t="s">
        <v>291</v>
      </c>
      <c r="D84">
        <v>-1.3</v>
      </c>
      <c r="E84" t="str">
        <f t="shared" si="7"/>
        <v>W</v>
      </c>
      <c r="F84" t="b">
        <f t="shared" si="8"/>
        <v>1</v>
      </c>
      <c r="G84" t="str">
        <f t="shared" si="9"/>
        <v>W</v>
      </c>
      <c r="H84" t="b">
        <f t="shared" si="10"/>
        <v>1</v>
      </c>
      <c r="I84" s="8">
        <v>83</v>
      </c>
      <c r="J84" s="12" t="s">
        <v>37</v>
      </c>
      <c r="K84" s="10">
        <v>0.96</v>
      </c>
      <c r="L84" s="11" t="s">
        <v>377</v>
      </c>
      <c r="M84" t="b">
        <f t="shared" si="11"/>
        <v>1</v>
      </c>
      <c r="O84">
        <f>-1.3-0.364</f>
        <v>-1.6640000000000001</v>
      </c>
    </row>
    <row r="85" spans="1:15" x14ac:dyDescent="0.3">
      <c r="A85" t="s">
        <v>37</v>
      </c>
      <c r="B85" t="s">
        <v>292</v>
      </c>
      <c r="D85">
        <v>0</v>
      </c>
      <c r="E85" t="str">
        <f t="shared" si="7"/>
        <v/>
      </c>
      <c r="F85" t="b">
        <f t="shared" si="8"/>
        <v>0</v>
      </c>
      <c r="G85" t="str">
        <f t="shared" si="9"/>
        <v>W</v>
      </c>
      <c r="H85" t="b">
        <f t="shared" si="10"/>
        <v>1</v>
      </c>
      <c r="I85" s="8">
        <v>84</v>
      </c>
      <c r="J85" s="12" t="s">
        <v>37</v>
      </c>
      <c r="K85" s="10">
        <v>0.99</v>
      </c>
      <c r="L85" s="11" t="s">
        <v>378</v>
      </c>
      <c r="M85" t="b">
        <f t="shared" si="11"/>
        <v>1</v>
      </c>
      <c r="O85">
        <v>-0.36399999999999999</v>
      </c>
    </row>
    <row r="88" spans="1:15" x14ac:dyDescent="0.3">
      <c r="A88">
        <f>COUNTIF(A2:A85,"W")</f>
        <v>42</v>
      </c>
      <c r="E88">
        <f>AVERAGE(D80,D78,D77,D76,D71,D59,D50,D45,D40,D37,D36,D38,D30,D15,D14,D13,D10,D6)</f>
        <v>0.51333333333333331</v>
      </c>
      <c r="F88">
        <f>COUNTIF(F2:F85,TRUE)</f>
        <v>65</v>
      </c>
      <c r="H88">
        <f>COUNTIF(H2:H85,TRUE)</f>
        <v>74</v>
      </c>
      <c r="M88">
        <f>COUNTIF(M2:M85,TRUE)</f>
        <v>82</v>
      </c>
    </row>
    <row r="89" spans="1:15" x14ac:dyDescent="0.3">
      <c r="E89">
        <f>MEDIAN(D80,D78,D77,D76,D71,D59,D50,D45,D40,D37,D36,D38,D30,D15,D14,D13,D10,D6)</f>
        <v>0.36499999999999999</v>
      </c>
      <c r="F89">
        <f>65/84*100</f>
        <v>77.38095238095238</v>
      </c>
      <c r="H89">
        <f>74/84*100</f>
        <v>88.095238095238088</v>
      </c>
    </row>
    <row r="92" spans="1:15" x14ac:dyDescent="0.3">
      <c r="E92">
        <f>COUNTIF(E2:E85,"W")</f>
        <v>25</v>
      </c>
    </row>
    <row r="96" spans="1:15" x14ac:dyDescent="0.3">
      <c r="J96" t="s">
        <v>36</v>
      </c>
    </row>
    <row r="97" spans="10:11" x14ac:dyDescent="0.3">
      <c r="J97">
        <f>AVERAGE(C2:C33)</f>
        <v>101.59375</v>
      </c>
      <c r="K97">
        <f>AVERAGE(C34:C65)</f>
        <v>114.875</v>
      </c>
    </row>
    <row r="98" spans="10:11" x14ac:dyDescent="0.3">
      <c r="J98">
        <f>_xlfn.STDEV.S(C2:C33)</f>
        <v>52.608020592350378</v>
      </c>
      <c r="K98">
        <f>_xlfn.STDEV.S(C34:C65)</f>
        <v>60.156114107513041</v>
      </c>
    </row>
    <row r="99" spans="10:11" x14ac:dyDescent="0.3">
      <c r="J99">
        <f>MEDIAN(C2:C33)</f>
        <v>82.5</v>
      </c>
      <c r="K99">
        <f>MEDIAN(C35:C66)</f>
        <v>110</v>
      </c>
    </row>
  </sheetData>
  <sortState xmlns:xlrd2="http://schemas.microsoft.com/office/spreadsheetml/2017/richdata2" ref="A2:C65">
    <sortCondition descending="1" ref="B1:B6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DA7F-5FC9-4325-A7C6-D7EBA4A2F864}">
  <dimension ref="A1:B122"/>
  <sheetViews>
    <sheetView topLeftCell="A32" zoomScale="85" zoomScaleNormal="85" workbookViewId="0">
      <selection activeCell="B7" sqref="B7"/>
    </sheetView>
  </sheetViews>
  <sheetFormatPr baseColWidth="10" defaultRowHeight="14.4" x14ac:dyDescent="0.3"/>
  <cols>
    <col min="2" max="2" width="208.44140625" customWidth="1"/>
  </cols>
  <sheetData>
    <row r="1" spans="1:2" x14ac:dyDescent="0.3">
      <c r="A1" t="s">
        <v>70</v>
      </c>
      <c r="B1" t="s">
        <v>71</v>
      </c>
    </row>
    <row r="2" spans="1:2" ht="31.2" x14ac:dyDescent="0.3">
      <c r="A2" t="s">
        <v>176</v>
      </c>
      <c r="B2" s="3" t="s">
        <v>72</v>
      </c>
    </row>
    <row r="3" spans="1:2" ht="31.2" x14ac:dyDescent="0.3">
      <c r="A3" t="s">
        <v>177</v>
      </c>
      <c r="B3" s="3" t="s">
        <v>73</v>
      </c>
    </row>
    <row r="4" spans="1:2" ht="15.6" x14ac:dyDescent="0.3">
      <c r="A4" t="s">
        <v>178</v>
      </c>
      <c r="B4" s="3" t="s">
        <v>74</v>
      </c>
    </row>
    <row r="5" spans="1:2" ht="15.6" x14ac:dyDescent="0.3">
      <c r="A5" t="s">
        <v>179</v>
      </c>
      <c r="B5" s="3" t="s">
        <v>75</v>
      </c>
    </row>
    <row r="6" spans="1:2" ht="31.2" x14ac:dyDescent="0.3">
      <c r="A6" t="s">
        <v>180</v>
      </c>
      <c r="B6" s="3" t="s">
        <v>76</v>
      </c>
    </row>
    <row r="7" spans="1:2" ht="31.2" x14ac:dyDescent="0.3">
      <c r="A7" t="s">
        <v>181</v>
      </c>
      <c r="B7" s="3" t="s">
        <v>77</v>
      </c>
    </row>
    <row r="8" spans="1:2" ht="15.6" x14ac:dyDescent="0.3">
      <c r="A8" t="s">
        <v>182</v>
      </c>
      <c r="B8" s="3" t="s">
        <v>78</v>
      </c>
    </row>
    <row r="9" spans="1:2" ht="31.2" x14ac:dyDescent="0.3">
      <c r="A9" t="s">
        <v>183</v>
      </c>
      <c r="B9" s="3" t="s">
        <v>79</v>
      </c>
    </row>
    <row r="10" spans="1:2" ht="31.2" x14ac:dyDescent="0.3">
      <c r="A10" t="s">
        <v>184</v>
      </c>
      <c r="B10" s="3" t="s">
        <v>80</v>
      </c>
    </row>
    <row r="11" spans="1:2" ht="31.2" x14ac:dyDescent="0.3">
      <c r="A11" t="s">
        <v>185</v>
      </c>
      <c r="B11" s="3" t="s">
        <v>81</v>
      </c>
    </row>
    <row r="12" spans="1:2" ht="15.6" x14ac:dyDescent="0.3">
      <c r="A12" t="s">
        <v>186</v>
      </c>
      <c r="B12" s="3" t="s">
        <v>82</v>
      </c>
    </row>
    <row r="13" spans="1:2" ht="31.2" x14ac:dyDescent="0.3">
      <c r="A13" t="s">
        <v>187</v>
      </c>
      <c r="B13" s="3" t="s">
        <v>83</v>
      </c>
    </row>
    <row r="14" spans="1:2" ht="15.6" x14ac:dyDescent="0.3">
      <c r="A14" t="s">
        <v>188</v>
      </c>
      <c r="B14" s="3" t="s">
        <v>84</v>
      </c>
    </row>
    <row r="15" spans="1:2" ht="46.8" x14ac:dyDescent="0.3">
      <c r="A15" t="s">
        <v>189</v>
      </c>
      <c r="B15" s="3" t="s">
        <v>85</v>
      </c>
    </row>
    <row r="16" spans="1:2" ht="31.2" x14ac:dyDescent="0.3">
      <c r="A16" t="s">
        <v>190</v>
      </c>
      <c r="B16" s="3" t="s">
        <v>86</v>
      </c>
    </row>
    <row r="17" spans="1:2" ht="31.2" x14ac:dyDescent="0.3">
      <c r="A17" t="s">
        <v>191</v>
      </c>
      <c r="B17" s="3" t="s">
        <v>87</v>
      </c>
    </row>
    <row r="18" spans="1:2" ht="31.2" x14ac:dyDescent="0.3">
      <c r="A18" t="s">
        <v>192</v>
      </c>
      <c r="B18" s="3" t="s">
        <v>88</v>
      </c>
    </row>
    <row r="19" spans="1:2" ht="15.6" x14ac:dyDescent="0.3">
      <c r="A19" t="s">
        <v>193</v>
      </c>
      <c r="B19" s="3" t="s">
        <v>89</v>
      </c>
    </row>
    <row r="20" spans="1:2" ht="112.2" x14ac:dyDescent="0.3">
      <c r="A20" t="s">
        <v>194</v>
      </c>
      <c r="B20" s="3" t="s">
        <v>90</v>
      </c>
    </row>
    <row r="21" spans="1:2" ht="18.600000000000001" x14ac:dyDescent="0.3">
      <c r="A21" t="s">
        <v>195</v>
      </c>
      <c r="B21" s="3" t="s">
        <v>91</v>
      </c>
    </row>
    <row r="22" spans="1:2" ht="46.8" x14ac:dyDescent="0.3">
      <c r="A22" t="s">
        <v>196</v>
      </c>
      <c r="B22" s="3" t="s">
        <v>92</v>
      </c>
    </row>
    <row r="23" spans="1:2" ht="31.2" x14ac:dyDescent="0.3">
      <c r="A23" t="s">
        <v>197</v>
      </c>
      <c r="B23" s="3" t="s">
        <v>93</v>
      </c>
    </row>
    <row r="24" spans="1:2" ht="46.8" x14ac:dyDescent="0.3">
      <c r="A24" t="s">
        <v>198</v>
      </c>
      <c r="B24" s="3" t="s">
        <v>94</v>
      </c>
    </row>
    <row r="25" spans="1:2" ht="46.8" x14ac:dyDescent="0.3">
      <c r="A25" t="s">
        <v>199</v>
      </c>
      <c r="B25" s="3" t="s">
        <v>95</v>
      </c>
    </row>
    <row r="26" spans="1:2" ht="31.2" x14ac:dyDescent="0.3">
      <c r="A26" t="s">
        <v>200</v>
      </c>
      <c r="B26" s="3" t="s">
        <v>96</v>
      </c>
    </row>
    <row r="27" spans="1:2" ht="31.2" x14ac:dyDescent="0.3">
      <c r="A27" t="s">
        <v>201</v>
      </c>
      <c r="B27" s="3" t="s">
        <v>97</v>
      </c>
    </row>
    <row r="28" spans="1:2" ht="46.8" x14ac:dyDescent="0.3">
      <c r="A28" t="s">
        <v>202</v>
      </c>
      <c r="B28" s="3" t="s">
        <v>98</v>
      </c>
    </row>
    <row r="29" spans="1:2" ht="62.4" x14ac:dyDescent="0.3">
      <c r="A29" t="s">
        <v>203</v>
      </c>
      <c r="B29" s="3" t="s">
        <v>99</v>
      </c>
    </row>
    <row r="30" spans="1:2" ht="15.6" x14ac:dyDescent="0.3">
      <c r="A30" t="s">
        <v>204</v>
      </c>
      <c r="B30" s="3" t="s">
        <v>208</v>
      </c>
    </row>
    <row r="31" spans="1:2" ht="31.2" x14ac:dyDescent="0.3">
      <c r="A31" t="s">
        <v>205</v>
      </c>
      <c r="B31" s="3" t="s">
        <v>100</v>
      </c>
    </row>
    <row r="32" spans="1:2" ht="31.2" x14ac:dyDescent="0.3">
      <c r="A32" t="s">
        <v>206</v>
      </c>
      <c r="B32" s="3" t="s">
        <v>101</v>
      </c>
    </row>
    <row r="33" spans="1:2" ht="31.2" x14ac:dyDescent="0.3">
      <c r="A33" t="s">
        <v>207</v>
      </c>
      <c r="B33" s="3" t="s">
        <v>210</v>
      </c>
    </row>
    <row r="34" spans="1:2" ht="15.6" x14ac:dyDescent="0.3">
      <c r="A34" t="s">
        <v>209</v>
      </c>
      <c r="B34" s="3" t="s">
        <v>102</v>
      </c>
    </row>
    <row r="35" spans="1:2" ht="31.2" x14ac:dyDescent="0.3">
      <c r="A35" t="s">
        <v>211</v>
      </c>
      <c r="B35" s="3" t="s">
        <v>103</v>
      </c>
    </row>
    <row r="36" spans="1:2" ht="62.4" x14ac:dyDescent="0.3">
      <c r="A36" t="s">
        <v>212</v>
      </c>
      <c r="B36" s="3" t="s">
        <v>104</v>
      </c>
    </row>
    <row r="37" spans="1:2" ht="31.2" x14ac:dyDescent="0.3">
      <c r="A37" t="s">
        <v>213</v>
      </c>
      <c r="B37" s="3" t="s">
        <v>105</v>
      </c>
    </row>
    <row r="38" spans="1:2" ht="46.8" x14ac:dyDescent="0.3">
      <c r="A38" t="s">
        <v>214</v>
      </c>
      <c r="B38" s="3" t="s">
        <v>106</v>
      </c>
    </row>
    <row r="39" spans="1:2" ht="62.4" x14ac:dyDescent="0.3">
      <c r="A39" t="s">
        <v>215</v>
      </c>
      <c r="B39" s="3" t="s">
        <v>216</v>
      </c>
    </row>
    <row r="40" spans="1:2" ht="15.6" x14ac:dyDescent="0.3">
      <c r="B40" s="3"/>
    </row>
    <row r="41" spans="1:2" ht="62.4" x14ac:dyDescent="0.3">
      <c r="A41" t="s">
        <v>217</v>
      </c>
      <c r="B41" s="3" t="s">
        <v>107</v>
      </c>
    </row>
    <row r="42" spans="1:2" ht="46.8" x14ac:dyDescent="0.3">
      <c r="A42" t="s">
        <v>218</v>
      </c>
      <c r="B42" s="3" t="s">
        <v>108</v>
      </c>
    </row>
    <row r="43" spans="1:2" ht="46.8" x14ac:dyDescent="0.3">
      <c r="A43" t="s">
        <v>219</v>
      </c>
      <c r="B43" s="3" t="s">
        <v>109</v>
      </c>
    </row>
    <row r="44" spans="1:2" ht="46.8" x14ac:dyDescent="0.3">
      <c r="A44" t="s">
        <v>220</v>
      </c>
      <c r="B44" s="3" t="s">
        <v>110</v>
      </c>
    </row>
    <row r="45" spans="1:2" ht="31.2" x14ac:dyDescent="0.3">
      <c r="A45" t="s">
        <v>221</v>
      </c>
      <c r="B45" s="3" t="s">
        <v>111</v>
      </c>
    </row>
    <row r="46" spans="1:2" ht="31.2" x14ac:dyDescent="0.3">
      <c r="A46" t="s">
        <v>222</v>
      </c>
      <c r="B46" s="3" t="s">
        <v>112</v>
      </c>
    </row>
    <row r="47" spans="1:2" ht="31.2" x14ac:dyDescent="0.3">
      <c r="A47" t="s">
        <v>223</v>
      </c>
      <c r="B47" s="3" t="s">
        <v>113</v>
      </c>
    </row>
    <row r="48" spans="1:2" ht="31.2" x14ac:dyDescent="0.3">
      <c r="A48" t="s">
        <v>224</v>
      </c>
      <c r="B48" s="3" t="s">
        <v>114</v>
      </c>
    </row>
    <row r="49" spans="1:2" ht="46.8" x14ac:dyDescent="0.3">
      <c r="A49" t="s">
        <v>225</v>
      </c>
      <c r="B49" s="3" t="s">
        <v>115</v>
      </c>
    </row>
    <row r="50" spans="1:2" ht="31.2" x14ac:dyDescent="0.3">
      <c r="A50" t="s">
        <v>226</v>
      </c>
      <c r="B50" s="3" t="s">
        <v>116</v>
      </c>
    </row>
    <row r="51" spans="1:2" ht="62.4" x14ac:dyDescent="0.3">
      <c r="A51" t="s">
        <v>227</v>
      </c>
      <c r="B51" s="3" t="s">
        <v>117</v>
      </c>
    </row>
    <row r="52" spans="1:2" ht="78" x14ac:dyDescent="0.3">
      <c r="A52" t="s">
        <v>228</v>
      </c>
      <c r="B52" s="3" t="s">
        <v>230</v>
      </c>
    </row>
    <row r="53" spans="1:2" ht="15.6" x14ac:dyDescent="0.3">
      <c r="B53" s="3"/>
    </row>
    <row r="54" spans="1:2" ht="31.2" x14ac:dyDescent="0.3">
      <c r="A54" t="s">
        <v>229</v>
      </c>
      <c r="B54" s="3" t="s">
        <v>118</v>
      </c>
    </row>
    <row r="55" spans="1:2" ht="31.2" x14ac:dyDescent="0.3">
      <c r="A55" t="s">
        <v>231</v>
      </c>
      <c r="B55" s="3" t="s">
        <v>119</v>
      </c>
    </row>
    <row r="56" spans="1:2" ht="31.2" x14ac:dyDescent="0.3">
      <c r="A56" t="s">
        <v>232</v>
      </c>
      <c r="B56" s="3" t="s">
        <v>120</v>
      </c>
    </row>
    <row r="57" spans="1:2" ht="124.8" x14ac:dyDescent="0.3">
      <c r="A57" t="s">
        <v>233</v>
      </c>
      <c r="B57" s="3" t="s">
        <v>234</v>
      </c>
    </row>
    <row r="58" spans="1:2" ht="15.6" x14ac:dyDescent="0.3">
      <c r="B58" s="3"/>
    </row>
    <row r="59" spans="1:2" ht="46.8" x14ac:dyDescent="0.3">
      <c r="A59" t="s">
        <v>235</v>
      </c>
      <c r="B59" s="3" t="s">
        <v>121</v>
      </c>
    </row>
    <row r="60" spans="1:2" ht="62.4" x14ac:dyDescent="0.3">
      <c r="A60" t="s">
        <v>236</v>
      </c>
      <c r="B60" s="3" t="s">
        <v>122</v>
      </c>
    </row>
    <row r="61" spans="1:2" ht="187.2" x14ac:dyDescent="0.3">
      <c r="A61" t="s">
        <v>237</v>
      </c>
      <c r="B61" s="3" t="s">
        <v>123</v>
      </c>
    </row>
    <row r="62" spans="1:2" ht="78" x14ac:dyDescent="0.3">
      <c r="A62" t="s">
        <v>238</v>
      </c>
      <c r="B62" s="3" t="s">
        <v>239</v>
      </c>
    </row>
    <row r="63" spans="1:2" ht="15.6" x14ac:dyDescent="0.3">
      <c r="B63" s="3"/>
    </row>
    <row r="64" spans="1:2" ht="46.8" x14ac:dyDescent="0.3">
      <c r="A64" t="s">
        <v>240</v>
      </c>
      <c r="B64" s="3" t="s">
        <v>124</v>
      </c>
    </row>
    <row r="65" spans="1:2" ht="78" x14ac:dyDescent="0.3">
      <c r="A65" t="s">
        <v>241</v>
      </c>
      <c r="B65" s="3" t="s">
        <v>125</v>
      </c>
    </row>
    <row r="66" spans="1:2" ht="46.8" x14ac:dyDescent="0.3">
      <c r="A66" t="s">
        <v>242</v>
      </c>
      <c r="B66" s="3" t="s">
        <v>126</v>
      </c>
    </row>
    <row r="67" spans="1:2" ht="46.8" x14ac:dyDescent="0.3">
      <c r="A67" t="s">
        <v>243</v>
      </c>
      <c r="B67" s="3" t="s">
        <v>127</v>
      </c>
    </row>
    <row r="68" spans="1:2" ht="124.8" x14ac:dyDescent="0.3">
      <c r="A68" t="s">
        <v>244</v>
      </c>
      <c r="B68" s="3" t="s">
        <v>245</v>
      </c>
    </row>
    <row r="69" spans="1:2" ht="93.6" x14ac:dyDescent="0.3">
      <c r="A69" t="s">
        <v>250</v>
      </c>
      <c r="B69" s="5" t="s">
        <v>252</v>
      </c>
    </row>
    <row r="70" spans="1:2" ht="78" x14ac:dyDescent="0.3">
      <c r="A70" t="s">
        <v>246</v>
      </c>
      <c r="B70" s="3" t="s">
        <v>128</v>
      </c>
    </row>
    <row r="71" spans="1:2" ht="124.8" x14ac:dyDescent="0.3">
      <c r="A71" t="s">
        <v>247</v>
      </c>
      <c r="B71" s="3" t="s">
        <v>129</v>
      </c>
    </row>
    <row r="72" spans="1:2" ht="78" x14ac:dyDescent="0.3">
      <c r="A72" t="s">
        <v>248</v>
      </c>
      <c r="B72" s="3" t="s">
        <v>130</v>
      </c>
    </row>
    <row r="73" spans="1:2" ht="187.2" x14ac:dyDescent="0.3">
      <c r="A73" t="s">
        <v>249</v>
      </c>
      <c r="B73" s="3" t="s">
        <v>131</v>
      </c>
    </row>
    <row r="74" spans="1:2" ht="62.4" x14ac:dyDescent="0.3">
      <c r="A74" t="s">
        <v>251</v>
      </c>
      <c r="B74" s="3" t="s">
        <v>132</v>
      </c>
    </row>
    <row r="75" spans="1:2" ht="46.8" x14ac:dyDescent="0.3">
      <c r="A75" t="s">
        <v>253</v>
      </c>
      <c r="B75" s="3" t="s">
        <v>133</v>
      </c>
    </row>
    <row r="76" spans="1:2" ht="31.2" x14ac:dyDescent="0.3">
      <c r="A76" t="s">
        <v>254</v>
      </c>
      <c r="B76" s="3" t="s">
        <v>134</v>
      </c>
    </row>
    <row r="77" spans="1:2" ht="405.6" x14ac:dyDescent="0.3">
      <c r="A77" t="s">
        <v>255</v>
      </c>
      <c r="B77" s="3" t="s">
        <v>256</v>
      </c>
    </row>
    <row r="78" spans="1:2" ht="15.6" x14ac:dyDescent="0.3">
      <c r="B78" s="3"/>
    </row>
    <row r="79" spans="1:2" ht="46.8" x14ac:dyDescent="0.3">
      <c r="A79" t="s">
        <v>257</v>
      </c>
      <c r="B79" s="3" t="s">
        <v>135</v>
      </c>
    </row>
    <row r="80" spans="1:2" ht="93.6" x14ac:dyDescent="0.3">
      <c r="A80" t="s">
        <v>258</v>
      </c>
      <c r="B80" s="3" t="s">
        <v>136</v>
      </c>
    </row>
    <row r="81" spans="1:2" ht="202.8" x14ac:dyDescent="0.3">
      <c r="B81" s="3" t="s">
        <v>137</v>
      </c>
    </row>
    <row r="82" spans="1:2" ht="46.8" x14ac:dyDescent="0.3">
      <c r="A82" t="s">
        <v>259</v>
      </c>
      <c r="B82" s="3" t="s">
        <v>138</v>
      </c>
    </row>
    <row r="83" spans="1:2" ht="31.2" x14ac:dyDescent="0.3">
      <c r="A83" t="s">
        <v>260</v>
      </c>
      <c r="B83" s="3" t="s">
        <v>139</v>
      </c>
    </row>
    <row r="84" spans="1:2" ht="234" x14ac:dyDescent="0.3">
      <c r="A84" t="s">
        <v>261</v>
      </c>
      <c r="B84" s="3" t="s">
        <v>140</v>
      </c>
    </row>
    <row r="85" spans="1:2" ht="140.4" x14ac:dyDescent="0.3">
      <c r="A85" t="s">
        <v>262</v>
      </c>
      <c r="B85" s="3" t="s">
        <v>141</v>
      </c>
    </row>
    <row r="86" spans="1:2" ht="46.8" x14ac:dyDescent="0.3">
      <c r="A86" t="s">
        <v>263</v>
      </c>
      <c r="B86" s="3" t="s">
        <v>142</v>
      </c>
    </row>
    <row r="87" spans="1:2" ht="46.8" x14ac:dyDescent="0.3">
      <c r="A87" t="s">
        <v>264</v>
      </c>
      <c r="B87" s="3" t="s">
        <v>143</v>
      </c>
    </row>
    <row r="88" spans="1:2" ht="31.2" x14ac:dyDescent="0.3">
      <c r="A88" t="s">
        <v>265</v>
      </c>
      <c r="B88" s="3" t="s">
        <v>144</v>
      </c>
    </row>
    <row r="89" spans="1:2" ht="62.4" x14ac:dyDescent="0.3">
      <c r="A89" t="s">
        <v>266</v>
      </c>
      <c r="B89" s="3" t="s">
        <v>145</v>
      </c>
    </row>
    <row r="90" spans="1:2" ht="93.6" x14ac:dyDescent="0.3">
      <c r="A90" t="s">
        <v>267</v>
      </c>
      <c r="B90" s="3" t="s">
        <v>268</v>
      </c>
    </row>
    <row r="91" spans="1:2" ht="15.6" x14ac:dyDescent="0.3">
      <c r="B91" s="3"/>
    </row>
    <row r="92" spans="1:2" ht="62.4" x14ac:dyDescent="0.3">
      <c r="A92" t="s">
        <v>269</v>
      </c>
      <c r="B92" s="3" t="s">
        <v>146</v>
      </c>
    </row>
    <row r="93" spans="1:2" ht="31.2" x14ac:dyDescent="0.3">
      <c r="A93" t="s">
        <v>270</v>
      </c>
      <c r="B93" s="3" t="s">
        <v>147</v>
      </c>
    </row>
    <row r="94" spans="1:2" ht="31.2" x14ac:dyDescent="0.3">
      <c r="A94" t="s">
        <v>271</v>
      </c>
      <c r="B94" s="3" t="s">
        <v>148</v>
      </c>
    </row>
    <row r="95" spans="1:2" ht="46.8" x14ac:dyDescent="0.3">
      <c r="A95" t="s">
        <v>272</v>
      </c>
      <c r="B95" s="3" t="s">
        <v>149</v>
      </c>
    </row>
    <row r="96" spans="1:2" ht="187.2" x14ac:dyDescent="0.3">
      <c r="B96" s="3" t="s">
        <v>150</v>
      </c>
    </row>
    <row r="97" spans="2:2" ht="62.4" x14ac:dyDescent="0.3">
      <c r="B97" s="3" t="s">
        <v>151</v>
      </c>
    </row>
    <row r="98" spans="2:2" ht="124.8" x14ac:dyDescent="0.3">
      <c r="B98" s="3" t="s">
        <v>152</v>
      </c>
    </row>
    <row r="99" spans="2:2" ht="31.2" x14ac:dyDescent="0.3">
      <c r="B99" s="3" t="s">
        <v>153</v>
      </c>
    </row>
    <row r="100" spans="2:2" ht="115.2" x14ac:dyDescent="0.3">
      <c r="B100" s="4" t="s">
        <v>154</v>
      </c>
    </row>
    <row r="101" spans="2:2" ht="31.2" x14ac:dyDescent="0.3">
      <c r="B101" s="3" t="s">
        <v>155</v>
      </c>
    </row>
    <row r="102" spans="2:2" ht="31.2" x14ac:dyDescent="0.3">
      <c r="B102" s="3" t="s">
        <v>155</v>
      </c>
    </row>
    <row r="103" spans="2:2" ht="93.6" x14ac:dyDescent="0.3">
      <c r="B103" s="3" t="s">
        <v>156</v>
      </c>
    </row>
    <row r="104" spans="2:2" ht="31.2" x14ac:dyDescent="0.3">
      <c r="B104" s="3" t="s">
        <v>157</v>
      </c>
    </row>
    <row r="105" spans="2:2" ht="15.6" x14ac:dyDescent="0.3">
      <c r="B105" s="3" t="s">
        <v>158</v>
      </c>
    </row>
    <row r="106" spans="2:2" ht="15.6" x14ac:dyDescent="0.3">
      <c r="B106" s="3" t="s">
        <v>159</v>
      </c>
    </row>
    <row r="107" spans="2:2" ht="31.2" x14ac:dyDescent="0.3">
      <c r="B107" s="3" t="s">
        <v>160</v>
      </c>
    </row>
    <row r="108" spans="2:2" ht="124.8" x14ac:dyDescent="0.3">
      <c r="B108" s="3" t="s">
        <v>161</v>
      </c>
    </row>
    <row r="109" spans="2:2" ht="100.8" x14ac:dyDescent="0.3">
      <c r="B109" s="4" t="s">
        <v>162</v>
      </c>
    </row>
    <row r="110" spans="2:2" ht="15.6" x14ac:dyDescent="0.3">
      <c r="B110" s="3" t="s">
        <v>163</v>
      </c>
    </row>
    <row r="111" spans="2:2" ht="31.2" x14ac:dyDescent="0.3">
      <c r="B111" s="3" t="s">
        <v>164</v>
      </c>
    </row>
    <row r="112" spans="2:2" ht="109.2" x14ac:dyDescent="0.3">
      <c r="B112" s="3" t="s">
        <v>165</v>
      </c>
    </row>
    <row r="113" spans="2:2" ht="93.6" x14ac:dyDescent="0.3">
      <c r="B113" s="3" t="s">
        <v>166</v>
      </c>
    </row>
    <row r="114" spans="2:2" ht="31.2" x14ac:dyDescent="0.3">
      <c r="B114" s="3" t="s">
        <v>167</v>
      </c>
    </row>
    <row r="115" spans="2:2" ht="115.2" x14ac:dyDescent="0.3">
      <c r="B115" s="4" t="s">
        <v>168</v>
      </c>
    </row>
    <row r="116" spans="2:2" ht="216" x14ac:dyDescent="0.3">
      <c r="B116" s="4" t="s">
        <v>169</v>
      </c>
    </row>
    <row r="117" spans="2:2" ht="31.2" x14ac:dyDescent="0.3">
      <c r="B117" s="3" t="s">
        <v>170</v>
      </c>
    </row>
    <row r="118" spans="2:2" ht="216" x14ac:dyDescent="0.3">
      <c r="B118" s="4" t="s">
        <v>171</v>
      </c>
    </row>
    <row r="119" spans="2:2" ht="144" x14ac:dyDescent="0.3">
      <c r="B119" s="4" t="s">
        <v>172</v>
      </c>
    </row>
    <row r="120" spans="2:2" ht="62.4" x14ac:dyDescent="0.3">
      <c r="B120" s="3" t="s">
        <v>173</v>
      </c>
    </row>
    <row r="121" spans="2:2" ht="15.6" x14ac:dyDescent="0.3">
      <c r="B121" s="3" t="s">
        <v>174</v>
      </c>
    </row>
    <row r="122" spans="2:2" ht="31.2" x14ac:dyDescent="0.3">
      <c r="B122" s="3"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KirbergSup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2026-03-12T12:59:34Z</dcterms:created>
  <dcterms:modified xsi:type="dcterms:W3CDTF">2026-03-23T10:25:35Z</dcterms:modified>
</cp:coreProperties>
</file>